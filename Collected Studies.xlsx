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d" sheetId="1" r:id="rId5"/>
    <sheet state="visible" name="Excluded Before Retrieval" sheetId="2" r:id="rId6"/>
    <sheet state="visible" name="Excluded After Retrieval" sheetId="3" r:id="rId7"/>
    <sheet state="visible" name="Text Analysis" sheetId="4" r:id="rId8"/>
  </sheets>
  <definedNames/>
  <calcPr/>
</workbook>
</file>

<file path=xl/sharedStrings.xml><?xml version="1.0" encoding="utf-8"?>
<sst xmlns="http://schemas.openxmlformats.org/spreadsheetml/2006/main" count="1260" uniqueCount="986">
  <si>
    <t>Title</t>
  </si>
  <si>
    <t>Authors</t>
  </si>
  <si>
    <t>Journal</t>
  </si>
  <si>
    <t>Year of Publication</t>
  </si>
  <si>
    <t>Citation</t>
  </si>
  <si>
    <t>Brief Summary</t>
  </si>
  <si>
    <t>Specific AI Tools mentioned</t>
  </si>
  <si>
    <t>Current Use of ML?</t>
  </si>
  <si>
    <t>Contribution to Bias?</t>
  </si>
  <si>
    <t>Source of Bias?</t>
  </si>
  <si>
    <t>Evidence of Bias?</t>
  </si>
  <si>
    <t>Benefits of AI</t>
  </si>
  <si>
    <t>Notes</t>
  </si>
  <si>
    <t>AI in Corrections</t>
  </si>
  <si>
    <t>Rowland, Matthew G., Amit Shah, and Ashit Chandra</t>
  </si>
  <si>
    <t>Federal Probation</t>
  </si>
  <si>
    <t>Rowland, Matthew G., Amit Shah, and Ashit Chandra. "AI in Corrections: The Basics and a Way to Experiment." Fed. Probation 87 (2023): 4.</t>
  </si>
  <si>
    <t>Explores the integration of AI into criminal justice to improve operational efficiency and decrease bias. Advocates for rigorous human oversight and staff training.</t>
  </si>
  <si>
    <t>LLM chatbots, LangChain, Deep Fakes</t>
  </si>
  <si>
    <t>No. Mentioned as a future possibility.</t>
  </si>
  <si>
    <t>Yes.</t>
  </si>
  <si>
    <t>Historical bias, bad actors developing AI</t>
  </si>
  <si>
    <t>None</t>
  </si>
  <si>
    <t>Improved efficiency, reducing human bias</t>
  </si>
  <si>
    <t>Advocates for a human-in-the-loop approach</t>
  </si>
  <si>
    <t>AI In Criminal Justice: Implications For Justice, Fairness, and Potential Biases</t>
  </si>
  <si>
    <t>Ramandeep Kaur</t>
  </si>
  <si>
    <t>Nyaayshastra Law Review</t>
  </si>
  <si>
    <t>Kaur, Ramandeep. "AI in Criminal Justice: Implications for Justice, Fairness, and Potential Biases." Nyaayshastra L. Rev. 4 (2023): 1.</t>
  </si>
  <si>
    <t>Compares the potential improvements that AI can make in criminal justice to the potential risks. Lists specific risks of bias and makes recomendations for fair practices.</t>
  </si>
  <si>
    <t>Strategic Subject List, COMPAS</t>
  </si>
  <si>
    <t>No. Mentions that "fiarness aware ML techniques" are recomended as a future practice.</t>
  </si>
  <si>
    <t>Yes. Bias based on race, gender, and socioeconomics</t>
  </si>
  <si>
    <t>Historical bias,</t>
  </si>
  <si>
    <t>2018 Partnership on AI Study</t>
  </si>
  <si>
    <t>Improved efficiency, predictive accuracy, reducing human bias</t>
  </si>
  <si>
    <t>Advocates for regualtion and ethical guidelines paired with education for officers and judges.</t>
  </si>
  <si>
    <t>Algorithmic governance from the bottom up</t>
  </si>
  <si>
    <t>Hannah Bloch-Wehba</t>
  </si>
  <si>
    <t>BYU Law Review</t>
  </si>
  <si>
    <t>Bloch-Wehba, Hannah. "Algorithmic governance from the bottom up." BYU L. Rev. 48 (2022): 69.</t>
  </si>
  <si>
    <t>Analyses the place of private industry in "algorithmic governance", warning against a technocratic approach.</t>
  </si>
  <si>
    <t>Palantir, facial recognition, Rekognition, DataWorksPlus, NEC, Domain Awareness System, Ring, ShotSpotter, Vigilant Solutions, Stingray, Project GreenLight, Project Maven, TIA, Project Nimbus, Extreme Vetting Initiative, Anduril</t>
  </si>
  <si>
    <t>Yes. Reinforces existing hierarchies, targets populations, and gives the veneer of objectivity.</t>
  </si>
  <si>
    <t>Historical bias, institutional bias, exclusion of perspective, techinical disparities</t>
  </si>
  <si>
    <t xml:space="preserve">Amazon Rekognition identifies CA lawmakers as criminals, wrongful arrest of Robert Williams </t>
  </si>
  <si>
    <t>Streamlining services, maximizing limited resources, cost reduction, eleminating human flaws, improved predictive precision, balanced justice, interpretable reasoning, monitoring government, transparency</t>
  </si>
  <si>
    <t>Not limited to risk assesment, very wide review.</t>
  </si>
  <si>
    <t>Algorithmic risk assessment in the hands of humans</t>
  </si>
  <si>
    <t>Stevenson, Megan T., and Jennifer L. Doleac</t>
  </si>
  <si>
    <t>American Economic Journal: Economic Policy</t>
  </si>
  <si>
    <t>Stevenson, Megan T., and Jennifer L. Doleac. "Algorithmic risk assessment in the hands of humans." American Economic Journal: Economic Policy 16.4 (2024): 382-414.</t>
  </si>
  <si>
    <t>Examines integration of algorithmic risk assessment into judicial sentencin, with human discretion mediating technology. Finds that judges frequently override algorithmic recommendations.</t>
  </si>
  <si>
    <t>Virginia Criminal Sentencing Commission Risk Assessment, COMPAS, random forest, nonlinear SVM, Virginia Pretrial Risk Assessment</t>
  </si>
  <si>
    <t>Yes. The authors use random forest as a comparicon for Virginia's current assessment tool.</t>
  </si>
  <si>
    <t xml:space="preserve">Yes. </t>
  </si>
  <si>
    <t>Embedding disallowed variables like race and gender, institutional bias</t>
  </si>
  <si>
    <t>COMPAS. Shows that sentences would be 24% longer for young defendants based solely on risk assessment. Shows that judges give black defendants longer sentences than white even with the same risk score. Analysis in Virginia shows judges giving longer sentences to youth when influenced by risk assessment tools.</t>
  </si>
  <si>
    <t>Could reduce "statistical discrimination"</t>
  </si>
  <si>
    <t>Authors are testing their own ML model against an algorithmic system.</t>
  </si>
  <si>
    <t>Algorithmic risk governance: Big data analytics, race and information activism in criminal justice debates</t>
  </si>
  <si>
    <t>Hannah-Moffat, Kelly.</t>
  </si>
  <si>
    <t>Theoretical Criminology</t>
  </si>
  <si>
    <t>Hannah-Moffat, Kelly. "Algorithmic risk governance: Big data analytics, race and information activism in criminal justice debates." Theoretical Criminology 23.4 (2019): 453-470.</t>
  </si>
  <si>
    <t>Studies the rise of big data analytics as an alternative to established social science methodologies. Shows that algorithmic techniques can mask systemic racism.</t>
  </si>
  <si>
    <t xml:space="preserve">PrePol, facial recognition, license plate readers, COMPAS, LSI-R, Salient Factor Score, Florida Bail Algorithms </t>
  </si>
  <si>
    <t>Yes. Florida uses ML to determine bail amounts. PrePol employs ML.</t>
  </si>
  <si>
    <t>Yes. Mask systemic discrimination. Reporduces and rationalizes historical bias.</t>
  </si>
  <si>
    <t>Structural barriers become recorded as individual risk factors. Algorithms rationalise targeting margenalized groups. Software is developed without ethical conciousness. The "meaning" of recorded data can change over time. Large datasets can imply patterns where none exist.</t>
  </si>
  <si>
    <t xml:space="preserve">COMPAS flags black defendants twice as often. </t>
  </si>
  <si>
    <t>Improved efficiency and resource management. Expedited legal research. Objective and standardized decision making. Improved predictive accuracy. Greater oversight. Exposing systemic bias. Public transparency.</t>
  </si>
  <si>
    <t>Advocates for data-focused approaches to be applied alongside other methods of risk assessment.</t>
  </si>
  <si>
    <t>Algorithms and the individual in criminal law</t>
  </si>
  <si>
    <t>Jorgensen, Renée</t>
  </si>
  <si>
    <t>Canadian Journal of Philosophy</t>
  </si>
  <si>
    <t>Jorgensen, Renée. "Algorithms and the individual in criminal law." Canadian Journal of Philosophy 52.1 (2022): 61-77.</t>
  </si>
  <si>
    <t>Explores the possibility that predictive algorithms necesarily violate defendants' right to be treated as an individual. Argues that legal outcomes must be based on transparent variables in order to respect human autonomy.</t>
  </si>
  <si>
    <t>PredPol, HunchLab, Gotham from Palantir, Strategic Subject Initiative, Los Angeles Strategic Extraction and Restoration, Risk and Needs Assessment Tools, COMPAS, Arnold Public Safety Assessment, Virginia Pretrial Risk Assessment Instrument, Ohio Risk Assessment System, Correctional Assessment and Intervention System, Level of Service/Case Management Inventory, Strategic Subject List</t>
  </si>
  <si>
    <t xml:space="preserve">Yes. Pattern recognition. Employed in PredPol and HunchLab. Specifically mentions unsupervised and deep learning. </t>
  </si>
  <si>
    <t>Yes. Historiacal bias.</t>
  </si>
  <si>
    <t>Systems can learn proxy attributes for race. Big data methodologies are often trained on "dirty" or unreliable data. Can amplify or justify human bias.</t>
  </si>
  <si>
    <t>COMPAS has racially biased error rates. PrePol, HunchLab, and SSI have been trained on data that captures historical bias.</t>
  </si>
  <si>
    <t>Mitigating human bias. Detecting discrimination. Assessments can be highly tailored to the individual. Identifying high-crime hotspots. Preventing victimization. Detecting "white-collar" crime.</t>
  </si>
  <si>
    <t>Advocates for algorithmic tools to be applied alongside human judgement.</t>
  </si>
  <si>
    <t>Algorithms in practice: Comparing web journalism and criminal justice</t>
  </si>
  <si>
    <t>Christin, Angèle</t>
  </si>
  <si>
    <t>Big data &amp; society</t>
  </si>
  <si>
    <t>Christin, Angèle. "Algorithms in practice: Comparing web journalism and criminal justice." Big data &amp; society 4.2 (2017): 2053951717718855.</t>
  </si>
  <si>
    <t>Presents an ethnographic study of the simalarities between how algorithms are used in two institutions: journalism and criminal justice. Explores the interaction that people in these fields have with their algorithmic tools.</t>
  </si>
  <si>
    <t>Chartbeat (journalism), Omniture(journalism), COMPAS, Public Safety Assessment, case management systems</t>
  </si>
  <si>
    <t>No. ML is specifically discussed in cited sources from this article but not by the article itself.</t>
  </si>
  <si>
    <t>Yes. Masking historical bias and obscured subjectivity. "Discriminatory feedback loops"</t>
  </si>
  <si>
    <t>Gives "patina of objectivity" to human judgement. Output is only as good as the input, human misuse of tools may cause bias. Biased training data. Reinforcing inequality. Embedding race as a "group-based" variable.</t>
  </si>
  <si>
    <t xml:space="preserve">COMPAS. Clickbait driven by Chartbeat analytics. </t>
  </si>
  <si>
    <t>Neutral decision making. Increased transparency. Improved resource management. Real-time insights.</t>
  </si>
  <si>
    <t xml:space="preserve">Uses journalism as a leading indicator for changis in criminal justice caused by algorithmic analytics. </t>
  </si>
  <si>
    <t>Artificial intelligence, due process and criminal sentencing</t>
  </si>
  <si>
    <t>Villasenor, John, and Virginia Foggo</t>
  </si>
  <si>
    <t>Michigan State Law Review</t>
  </si>
  <si>
    <t>Villasenor, John, and Virginia Foggo. "Artificial intelligence, due process and criminal sentencing." Mich. St. L. Rev. (2020): 295.</t>
  </si>
  <si>
    <t>Examines the integration of AI into sentencing and the impact on the defendant's due process. Shows that proprietary algorithms create legal hurdles through secrecy and doubts of accuracy.</t>
  </si>
  <si>
    <t>COMPAS, Prisoner Assessment Tool Targeting Estimated Risk and Needs (PATTERN), Iowa Risk Revised, Level of Service Inventory-Revised, Risk and Needs Assessment</t>
  </si>
  <si>
    <t>Yes. Discusses five "generations" of algorithmic risk assessment with the last being ML.</t>
  </si>
  <si>
    <t>Yes. Historical bias is preserved and amplified.</t>
  </si>
  <si>
    <t>Projection of historical injustice. Biased training data. Proxy attributes. Lack of individualizaed sentencing. Failing to distinguish correlation and causation.</t>
  </si>
  <si>
    <t xml:space="preserve">COMPAS, ProPublica "Machine Bias" investigation. Proxy variables in the IRR. </t>
  </si>
  <si>
    <t>Objectivity. Bias reduction. Addressing disparities. Superhuman pattern recognition. Better judicial evaluation of specific cases. Resource management.</t>
  </si>
  <si>
    <t>Draws a meaningful distinct between algorithms and AI</t>
  </si>
  <si>
    <t>Assessing risk assessment in action</t>
  </si>
  <si>
    <t>Stevenson, Megan</t>
  </si>
  <si>
    <t>Minnesota Law Review</t>
  </si>
  <si>
    <t>Stevenson, Megan. "Assessing risk assessment in action." Minn. L. Rev. 103 (2018): 303.</t>
  </si>
  <si>
    <t>A rigourous emperical analysis of pretrial risk assessment tools using Kentucky as a case study. Shows that implementation of PSA did not improve efficiency, while expanding racial disparity.</t>
  </si>
  <si>
    <t>Public Safety Assessment, COMPAS, Post Conviction Risk Assessment, Virginia Pretrial Risk Assessment,  Logistic Regression</t>
  </si>
  <si>
    <t>Yes. Distinguishes ML from "checklist style" assessments.</t>
  </si>
  <si>
    <t>Biased training data. Proxy attributes. Over policing of minority neighborhoods. Displacement of subjective judgement. Trade-offs in fairness.</t>
  </si>
  <si>
    <t>COMPAS, ProPublica "Machine Bias" investigation. Kentucky racial gap expansion</t>
  </si>
  <si>
    <t>Better predictive performance than intuitive methods. Decreasing detention rates. Resource management. Minimizing human bias. Standardization.</t>
  </si>
  <si>
    <t>Argues that disparate false positive rates in assessment tool is not a measure of racial bias. Generally unsupportive of algorithmic risk assessment.</t>
  </si>
  <si>
    <t>Bail or jail? Judicial versus algorithmic decision-making in the pretrial system</t>
  </si>
  <si>
    <t>Elyounes, Doaa Abu</t>
  </si>
  <si>
    <t>The Columbia Science and Technology Law Review</t>
  </si>
  <si>
    <t>Elyounes, Doaa Abu. "Bail or jail? Judicial versus algorithmic decision-making in the pretrial system." CoLuM. SCi. &amp; TECH. L. REv. 21 (2019): 376.</t>
  </si>
  <si>
    <t>Investigates the use of pretrial actuarial risk assessment tools, comparing traditional regression techniques to modern ML techniques. Examines the trade-off between rationalized decision making and preserving historical disparities.</t>
  </si>
  <si>
    <t xml:space="preserve">Pretrial Risk Assessment, Public Safety Assessment, Virginia Pretrial Risk Assessment Instrument, Colorado Pretrial Risk Assessment Tool, Ohio Pretrial Assessment Tool (PAT), COMPAS, The Kleinberg et al. Tool, Vera Point Scale </t>
  </si>
  <si>
    <t>Yes. Distinguishes ML from regression analysis but claims that there are more simalarities than differences between the two. Specifically references unsupervised learning.</t>
  </si>
  <si>
    <t>Yes. Racial and socio-economic bias. Ratchet effect -&gt; the system focuses on overrepresented individuals in courts.</t>
  </si>
  <si>
    <t>Biased and discriminatory training data. Overrepresentation of black defendants. Proxy variables. Human interpretation of metrics. Black box algorithms.</t>
  </si>
  <si>
    <t>COMPAS and ProPublica. Kentucky Judicial Interaction Study. Denver CPAT Home Ownership Proxy. The Ohio PAT Validity Study. Summarized in Table 3.</t>
  </si>
  <si>
    <t xml:space="preserve">Enhanced individualization. Improved predictive accuracy. Reducing detention by 41.9% without increasing crime rates. Accelerating the rate of social reform. Faster revalidation of risk assessment tools. </t>
  </si>
  <si>
    <t>Great rundown of commonly used tools in Section 3. "...none of the risk assessment tools currently in use operate
like a black box." Section 2.C.3</t>
  </si>
  <si>
    <t>Bias in, bias out</t>
  </si>
  <si>
    <t>Mayson, Sandra G.</t>
  </si>
  <si>
    <t>The Yale Law Journal</t>
  </si>
  <si>
    <t>Mayson, Sandra G. "Bias in, bias out." YAle lJ 128 (2018): 2218.</t>
  </si>
  <si>
    <t xml:space="preserve">Analyses the racial impacts of algorithmic risk assessment and outlines strategies for fair implementation. </t>
  </si>
  <si>
    <t>COMPAS, Post Conviction Risk Assessment, Kleinberg et al. Tool</t>
  </si>
  <si>
    <t>Yes. Mentions Durham-Hart model by name. Distinguishes between checklist instruments and ML algorithms.</t>
  </si>
  <si>
    <t>Yes. "The premise of prediction is that, absent intervention, history will repeat itself."</t>
  </si>
  <si>
    <t>Veneer of objectivity. Preservance historical disparities. Equality trade-offs. Proxy variables.</t>
  </si>
  <si>
    <t>COMPAS, DOJ Investigations: Ferguson, Baltimore, and New Orleans, The Kentucky Judicial Interaction Study, The Richard Berk Juvenile Justice Study</t>
  </si>
  <si>
    <t>Operational efficiency. Predictive accuracy. Removing irrational biases. "...crystalline image of visible, quantified data...", identifies causes of disparity, targeting social support, needs-oriented responses, reentry models</t>
  </si>
  <si>
    <t>Contains specific recomendations to improve the racial impacts of algorithmic risk assessment.</t>
  </si>
  <si>
    <t>Citizen Decisions and Machine Predictions: Coethnicity, Artificial Intelligence and Co-Production</t>
  </si>
  <si>
    <t>Anastasopoulos, L. Jason, and Micah Gell-Redman</t>
  </si>
  <si>
    <t>New England Area Political Psychology Meeting</t>
  </si>
  <si>
    <t>Anastasopoulos, L. Jason, and Micah Gell-Redman. "Citizen Decisions and Machine Predictions: Coethnicity, Artificial Intelligence and Co-Production." (2024).</t>
  </si>
  <si>
    <t>Studies the ways that social identity and coethnicity affect how AI-generated risk assessments are interpredted. Uses discrete choice model to investigate the trust that groups place in AI risk scores.</t>
  </si>
  <si>
    <t>COMPAS, the random forest algorithm, predictive policing tools, social credit scoring, Real-Time Crime Centers</t>
  </si>
  <si>
    <t>Yes. Recommender systems are used as an example. Random forest is used experimentally to classify synthetic high- and low-risk offenders.</t>
  </si>
  <si>
    <t>No. The paper argues that AI can and may contribute to, sustain, and mask bias but does not specifically state that AI tools currently in use are contributing to judicial bias.</t>
  </si>
  <si>
    <t>Historical bias. Amplifying trends involving misidentifying some individuals as dangerous. Confirmation bias. "Decoupling" of trust by individuals who are used to being treated unfairly.</t>
  </si>
  <si>
    <t>The ProPublica Broward County Dataset, COMPAS, “‘Just like I
thought’: Street-level bureaucrats trust AI recommendations if they confirm their professional judgment.”</t>
  </si>
  <si>
    <t xml:space="preserve">Online platforms can enable mutual trust between individuals, informed decision making, aiding rapid police responses, supporting partnerships between community and police </t>
  </si>
  <si>
    <t>Good links to recent studies.</t>
  </si>
  <si>
    <t>Constitutional dimensions of predictive algorithms in criminal justice</t>
  </si>
  <si>
    <t>Brenner, Michael, Jeannie Suk Gersen, Michael Haley, Matthew Lin, Amil Merchant, Richard Jagdishwar Millett, Suproteem K. Sarkar, and Drew Wegner</t>
  </si>
  <si>
    <t>Harvard Civil Rights-Civil Liberties Law Review</t>
  </si>
  <si>
    <t>Brenner, Michael, et al. "Constitutional dimensions of predictive algorithms in criminal justice." Harv. CR-CLL Rev. 55 (2020): 267.</t>
  </si>
  <si>
    <t>Analyzes constitutional concerns presented by algorithmic risk assessment technologies. Presents avenues for constitutional challenges to risk assessment technology.</t>
  </si>
  <si>
    <t>COMPAS, Level of Service Inventory- Revised, Ohio Risk Assessment System, Public Safety Assessment, California Static Risk Assessment Instrument, Salient Factor Score, Montana Offender and Reenty Risk Assessment Tool, Texas Risk Assessment, Indiana Risk Assessment System, Alabama Risk Assessment System, Louisiana Risk and Needs Assessment, Minesota Sex Offender Screening Tool-Revised, facial recognition</t>
  </si>
  <si>
    <t xml:space="preserve">Yes. Discusses black box learners and explainable AI. </t>
  </si>
  <si>
    <t>Yes. Clarifies that systems can have biased impact without that being the intent of the designer.</t>
  </si>
  <si>
    <t xml:space="preserve">Proxy variables. High dimensionality data obscuring racial bias. Structural racism in historical data. Question askers may interpret answers to survey question based on their own perceptions. Imbalanced traning data (specifically for facial recognition). Score may be used or not based on a decisionmakers bias. </t>
  </si>
  <si>
    <t>ProPublica analysis of COMPAS</t>
  </si>
  <si>
    <t>Reducing unnecesary detention. Increasing pretrial attendance rates. Identifying rehabilitation needs. Mitigating racial disparities. Transparent governance. Explainable dus processes with xAI. More rigorous explanations of judicial determinations.</t>
  </si>
  <si>
    <t>Indicates that "more than 20" states are using some form of alg. RA. Notes that COMPAS includes 130 questions including criminal history and personality. "Since there is little evidence that a longer sentence will impact a defendant's recidivism, some scholars have questioned whether a higher likelihood of recidivism should necessarily result in a longer sentence."</t>
  </si>
  <si>
    <t>Designed to fit: The development and validation of the STRONG-R recidivism risk assessment</t>
  </si>
  <si>
    <t>Hamilton, Zachary, Alex Kigerl, Michael Campagna, Robert Barnoski, Stephen Lee, Jacqueline Van Wormer, and Lauren Block</t>
  </si>
  <si>
    <t>Criminal Justice and behavior</t>
  </si>
  <si>
    <t>Hamilton, Zachary, et al. "Designed to fit: The development and validation of the STRONG-R recidivism risk assessment." Criminal Justice and behavior 43.2 (2016): 230-263.</t>
  </si>
  <si>
    <t>Describes the creation and testing of STRONG-R, and assessment tool developed for the Wash. State Dept. of Corrections. Intended to add jurisdiction-specific customization.</t>
  </si>
  <si>
    <t>STRONG-R, Level of Service/Case Management Inventory, COMPAS, Static Risk Assessment (version 1 and 2), Ohio Risk Assessment System, Women's Risk Needs Assessment, Minnesota Screening Tool Assessing Recidivism Risk</t>
  </si>
  <si>
    <t>Yes. Specifically mentions random forest and NN. ML was avoided for STRONG-R</t>
  </si>
  <si>
    <t>Yes. Indicates that off-the-shelf assessments need to be tailored to avoid bias.</t>
  </si>
  <si>
    <t>"Implementing an assessment off-the-shelf that has been validated else-
where runs an initial risk of bias and reduced performance." Gender-neutral models often mishandle women.</t>
  </si>
  <si>
    <t xml:space="preserve">Converting SRA to SRA2 because of illogical weights (e.g. homicide). </t>
  </si>
  <si>
    <t>Better resource alocation (focusing on high-risk offenders). Cost reduction. Objectivity and standardization. Transparency. Reducing bias. Gender responsivity.</t>
  </si>
  <si>
    <t>"Often overlooked in discussions of risk assessment creation and implementation is the necessary connection to the practitioner community when developing best practices."</t>
  </si>
  <si>
    <t>Disparate interactions: An algorithm-in-the-loop analysis of fairness in risk assessments</t>
  </si>
  <si>
    <t>Green, Ben, and Yiling Chen</t>
  </si>
  <si>
    <t>Proceedings of the conference on fairness, accountability, and transparency.</t>
  </si>
  <si>
    <t>Green, Ben, and Yiling Chen. "Disparate interactions: An algorithm-in-the-loop analysis of fairness in risk assessments." Proceedings of the conference on fairness, accountability, and transparency. 2019.</t>
  </si>
  <si>
    <t>Investigates how algorithmic risk assessment influences human decision making. Conducts a controlled experiment using distributed human reviewers and finds that their predictive accuracy often underperforms ARA.</t>
  </si>
  <si>
    <t>COMPAS. gradient boosted trees</t>
  </si>
  <si>
    <t>Yes. A gradient boosted tree is compared to human performance in an experimental framework.</t>
  </si>
  <si>
    <t>Yes. "Information !lters through existing biases"</t>
  </si>
  <si>
    <t>"Moral buffer" -&gt; people are more distanced from their desicsionsj when a machine is involved.</t>
  </si>
  <si>
    <t>COMPAS.  "...when evaluating black defendants [using this AI tool], participants were 25.9% more strongly influenced to increase their risk prediction at the suggestion of the risk assessment and were 36.4% more likely to deviate from the risk assessment toward higher levels of risk."</t>
  </si>
  <si>
    <t>Mitigating judicial bias. Reducing incarceration rates. Spurring criminal justice reform. Greater accuracy in predicting reoffense. Correcting cognitive blind spots by helping people interpret big data.</t>
  </si>
  <si>
    <t>CS-focused. Figure 2 summarizes their unique evidence very well.</t>
  </si>
  <si>
    <t>Evaluating algorithmic risk assessment</t>
  </si>
  <si>
    <t>Hamilton, Melissa</t>
  </si>
  <si>
    <t>New criminal law review</t>
  </si>
  <si>
    <t>Hamilton, Melissa. "Evaluating algorithmic risk assessment." New criminal law review 24.2 (2021): 156-211.</t>
  </si>
  <si>
    <t>Asseses the Public Safety Assessment as a tool for risk prediction. Expresses concern over the lack of public intelligence regarding the contents of this tool.</t>
  </si>
  <si>
    <t>Public Safety Assessment. Others in citation but not discussed directly.</t>
  </si>
  <si>
    <t>No. The paper uses some metrics that are comon in ML (e.g. AUC), but ML is not used by PSA.</t>
  </si>
  <si>
    <t>Yes. Use of algorithmic tools can cause "automation bias" when stakeholders assume the algorithms are incapable of error.</t>
  </si>
  <si>
    <t>Masking human bias. Inconsisent performance across jurisdictions. Encoded sociodemographic biases in assessment tools.</t>
  </si>
  <si>
    <t>Evidence colleceted as part of this project shows that different callibrations can cause it to over- or under-predict in jurisdictions. Authors argue that PSA might be affected by sociodemographic bias that is not seen due to lack of awareness.</t>
  </si>
  <si>
    <t>Reduction in bail for low-risk defendants, mititigating human bias, making judgement more consistent and less arbitrary, cost saving, efficiency</t>
  </si>
  <si>
    <t>Emperical examination of PSA.</t>
  </si>
  <si>
    <t>Evaluating the evidence in algorithmic evidence-based decision-making: the case of US pretrial risk assessment tools</t>
  </si>
  <si>
    <t>König, Pascal D., and Tobias D. Krafft</t>
  </si>
  <si>
    <t>Current Issues in Criminal Justice</t>
  </si>
  <si>
    <t>König, Pascal D., and Tobias D. Krafft. "Evaluating the evidence in algorithmic evidence-based decision-making: the case of US pretrial risk assessment tools." Current Issues in Criminal Justice 33.3 (2021): 359-381.</t>
  </si>
  <si>
    <t>Compares several ARA risk assessment tools that are being applied throught the USA. Shows the impact of data selection and on factor weighting to the outcomes of the tools.</t>
  </si>
  <si>
    <t>COMPAS. Colorado Pretrial Assessment Tools. Deleware Pretrial Assessment Tool. Minnesota Pretrial Assessment Tool. Nevada Pretrial Risk Assessment. Ohio Risk Assessment System- Pretrial Assessment Tool. Public Safety Assessment. Pretrial Risk Assessment. Virginia Pretrial Risk Assessment Instrument- Revised.</t>
  </si>
  <si>
    <t>Yes. This source specifically mentions ML without further elaborating how and where it is used.</t>
  </si>
  <si>
    <t>Yes. Selecting risk factors that contain bias creates biased tools.</t>
  </si>
  <si>
    <t>Historical bias, especially in arrest rates. Unawareness of biased data when designing risk assessments.</t>
  </si>
  <si>
    <t>2018 soccer referree study. Probulcia COMPAS study. "biased practice of disproportionately arresting certain groups with the same crime rate as other groups" -&gt; observable bias in historical practices can be presented as evidence of bias in some modern tools.</t>
  </si>
  <si>
    <t xml:space="preserve">Being "smart on crime" rather than tough. Utilitarian justice focused on social good. Stronger focus on evidence in decision making. Greter predictive power. </t>
  </si>
  <si>
    <t>Table 1 summarizes many tools well. Shows that tools have been evaluated using very different metrics. "However, although these tools do involve learning algorithms, they can hardly be called AI."</t>
  </si>
  <si>
    <t>Evidence-based sentencing and scientific evidence</t>
  </si>
  <si>
    <t>Martínez-Garay, Lucía</t>
  </si>
  <si>
    <t>Frontiers in Psychology</t>
  </si>
  <si>
    <t>Martínez-Garay, Lucía. "Evidence-based sentencing and scientific evidence." Frontiers in Psychology 14 (2023): 1309141.</t>
  </si>
  <si>
    <t>Examines the underlying data used in actuarial risk assessment, contending that evidence-based sentencing often fails to reduce recidivism.</t>
  </si>
  <si>
    <t xml:space="preserve">COMPAS. </t>
  </si>
  <si>
    <t>No.</t>
  </si>
  <si>
    <t>Yes. Strict reliance on data-based methods can produce biased resutls.</t>
  </si>
  <si>
    <t>Bias against youth. Conflicts of interest in published materials related to evidence-based sentencing.</t>
  </si>
  <si>
    <t xml:space="preserve">COMPAS. Study of sentencing in Virginia shows that risk assessment often influences judges to give youth longer sentences. </t>
  </si>
  <si>
    <t>Judicial objectivity. Efficient management of resources. Cost reduction. Greater transparency. Shielding judges from backlash.</t>
  </si>
  <si>
    <t>Describes models of algorithmic justice: "Risk, Need, and Responsivity", Manegerial-actualrial, and Evidenced-based</t>
  </si>
  <si>
    <t>Fair prediction with disparate impact: A study of bias in recidivism prediction instruments</t>
  </si>
  <si>
    <t>Chouldechova, Alexandra</t>
  </si>
  <si>
    <t>Big Data</t>
  </si>
  <si>
    <t>Chouldechova, Alexandra. "Fair prediction with disparate impact: A study of bias in recidivism prediction instruments. Big Data, 5 (2), 153-163." Mary Ann Liebert, Inc. publishers. https://doi. org/10.1089/big (2016).</t>
  </si>
  <si>
    <t>Explores multiple measures of fairness as applied to recidivism prediction instruments. Demonstrates that not all measures can be satisfied when recidivism prevalence varies across groups.</t>
  </si>
  <si>
    <t>COMPAS, Post Conviction Risk Assessment</t>
  </si>
  <si>
    <t>No. Machine learning is mentioned as a statistical tool, but its application to risk assessment is not specifically discussed.</t>
  </si>
  <si>
    <t>Yes. This paper highlights how necesary mathematical trade-offs make the presence of bias unavoidable.</t>
  </si>
  <si>
    <t>Historical recidivism rates.</t>
  </si>
  <si>
    <t>COMPAS. Mathematical analysis of fairness measures.</t>
  </si>
  <si>
    <t>More accurate than human judgement. Less bias than human judgement. Efficiency in post-conviction supervision.</t>
  </si>
  <si>
    <t>Includes four mathematical definitions related to fairness.</t>
  </si>
  <si>
    <t>Fair risk assessments: A precarious approach for criminal justice reform</t>
  </si>
  <si>
    <t>Green, Ben</t>
  </si>
  <si>
    <t>5th Workshop on fairness, accountability, and transparency in machine learning</t>
  </si>
  <si>
    <t>Green, Ben. "Fair” risk assessments: A precarious approach for criminal justice reform." 5th Workshop on fairness, accountability, and transparency in machine learning. 2018.</t>
  </si>
  <si>
    <t>Analyses common metrics of fairness to determine if they may still allow for biased impacts in real-world tools. Makes suggestions for expanded definitions of fairness to mitigate disparate impacts.</t>
  </si>
  <si>
    <t>COMPAS</t>
  </si>
  <si>
    <t>Yes. This paper indicates several ways in which the use of ML makes bias unavoidable.</t>
  </si>
  <si>
    <t>Historical bias. Sanitizes rather than reforms criminal justice. Algorithms are influenced by normative values. Political pressure to overlook risk scores for some crimes. Manipulation by people responsable for filling out pre-trial surveys.</t>
  </si>
  <si>
    <t>COMPAS.</t>
  </si>
  <si>
    <t>"risk assessments as a way to increase pretrial release rates to 85%", criminal justice reform. replacing money bail</t>
  </si>
  <si>
    <t>Recomends real-world rather than purely mathematical evaluatory criteria for risk assessment. Documents substantial support for decreased pre-trial jailing.</t>
  </si>
  <si>
    <t>Fairness, accountability and transparency: notes on algorithmic decision-making in criminal justice</t>
  </si>
  <si>
    <t>Chiao, Vincent</t>
  </si>
  <si>
    <t>International Journal of Law in Context</t>
  </si>
  <si>
    <t>Chiao, Vincent. "Fairness, accountability and transparency: notes on algorithmic decision-making in criminal justice." International Journal of Law in Context 15.2 (2019): 126-139.</t>
  </si>
  <si>
    <t>Discusses the ethical impacts of algorithmic decision-making being used in the criminal justice system. Views the matter through the lens of fairness, accountability, and transparency.</t>
  </si>
  <si>
    <t>Public Safety Assessment, the Kleinberg et al. tool.</t>
  </si>
  <si>
    <t>Yes. NN and other algorithms are specifically mentioned, but only Kleinberg is mentioned as specifically using ML.</t>
  </si>
  <si>
    <t>Yes. AI can preserve human bias, but also make it more visible.</t>
  </si>
  <si>
    <t>Replicating discriminatory practices. Both humans and AI are informed by biased data.</t>
  </si>
  <si>
    <t>Drug crime arrest records. Thought experiment posing hypothetical Group A vs. Group B.</t>
  </si>
  <si>
    <t>Greater predictive accuracy. Reducing bias. Removing irrelevant factors from consideration. Tranparency, individualization can conceal bias.</t>
  </si>
  <si>
    <t>Notes the potential lack of accountability if algorithmic methods "go wrong". "those who are drawn to communicative theories of punishment .. might object that machine learning algorithms cannot possibly serve the end of communicating to a wrongdoer the nature of her wrong."</t>
  </si>
  <si>
    <t>Formalizing Fairness: Statistical Measures of Parity for Recidivism Prediction Instruments</t>
  </si>
  <si>
    <t>Song, Joshua</t>
  </si>
  <si>
    <t>Michigan Technology Law Review</t>
  </si>
  <si>
    <t>Song, Joshua. "Formalizing Fairness: Statistical Measures of Parity for Recidivism Prediction Instruments." Michigan Technology Law Review 30.2 (2024): 2.</t>
  </si>
  <si>
    <t>Studies the applicability of several metrics of fairness to Recidivism Prediction Instruments. Shows that it is impossible to satisfy all definitions simultaneously and calls for false positive parity to be adopted as the standard metric of fairness.</t>
  </si>
  <si>
    <t>Yes. Very cursory mentions of ML and no connections to specific tools.</t>
  </si>
  <si>
    <t>Yes. AI preserves and amplifies human bias.</t>
  </si>
  <si>
    <t>Historical bias. Proxy variables for protected class information. Creating feedback-loops for human bias.</t>
  </si>
  <si>
    <t>COMPAS, comparison of "finger-printable arrests" to actual recidivism, reexaminationo of COMPAS by Professor Deborah Hellman</t>
  </si>
  <si>
    <t>Gretaer individuation of defendants. Informing judicial decision making.</t>
  </si>
  <si>
    <t>Seems to argue that AI can only compliment (or distort) human judgement rather than ever replacing it.</t>
  </si>
  <si>
    <t>Fragile algorithms and fallible decision-makers: lessons from the justice system</t>
  </si>
  <si>
    <t>Ludwig, Jens, and Sendhil Mullainathan</t>
  </si>
  <si>
    <t>Journal of Economic Perspectives</t>
  </si>
  <si>
    <t>Ludwig, Jens, and Sendhil Mullainathan. "Fragile algorithms and fallible decision-makers: lessons from the justice system." Journal of Economic Perspectives 35.4 (2021): 71-96.</t>
  </si>
  <si>
    <t>Observes the interactions between algorithmic and human decision making. Discusses the design of algorithms used in justice, arguing that they are often "fragile" by design.</t>
  </si>
  <si>
    <t>COMPAS, public safety assessment, facial recognition, image recognition, gunshot detection</t>
  </si>
  <si>
    <t>Yes. Notes that ML is used in a minority of tools compared to simpler analyses.</t>
  </si>
  <si>
    <t>Yes. Notes that racially disparate outcomes are common.</t>
  </si>
  <si>
    <t>Data selection by designers. Historical bias. Focusing too narrowly on predicted outcomes -&gt; ommited payoff bias. Treating each arrest as equally signifigant.</t>
  </si>
  <si>
    <t>COMPAS: racial and gender bias. New York City Pre-Trial Risk Tool (2003–2019). Miscallibration of the PSA in Kentucky.</t>
  </si>
  <si>
    <t>Reducing inconsistency, reducing error, and reducing racial bias. Improved preditction accuracy. Identifying human bias. Easier to audit. Better transparency.</t>
  </si>
  <si>
    <t>Table 1 lists several AI tools in current use. "Building good algorithms requires understanding how human decisions respond to algorithmic predictions.", "America’s criminal justice system is clearly broken. An overwhelming majority of people see the problems and think they must be fixed. The incarceration rate has exploded in a way that has no historical or international precedent"</t>
  </si>
  <si>
    <t>Ghosting the machine: Judicial resistance to a recidivism risk assessment instrument</t>
  </si>
  <si>
    <t>Pruss, Dasha</t>
  </si>
  <si>
    <t>2023 ACM conference on fairness, accountability, and transparency</t>
  </si>
  <si>
    <t>Pruss, Dasha. "Ghosting the machine: Judicial resistance to a recidivism risk assessment instrument." Proceedings of the 2023 ACM conference on fairness, accountability, and transparency. 2023.</t>
  </si>
  <si>
    <t>Investigates Pennsylvania's application of algorithmic risk assessment. Finds that judges frequently ignore the results of assessment.</t>
  </si>
  <si>
    <t xml:space="preserve">Sentence Risk Assessment Instrument, Ohio Risk Assessment, PredPol, Whisper from OpenAI </t>
  </si>
  <si>
    <t>No. Recognizes that risk assessments are often drafted to compensate for bias based on race and age, but finds that in the case examined, judges' perception of the tools as biased has led to them being ignored.</t>
  </si>
  <si>
    <t>Biased data. Selective interpretation of statistics. Flaws in the design of risk assessments.</t>
  </si>
  <si>
    <t>Audit of the SRAI by Carnegie Mellon University found technical biases and corrected. Kentucky PRA increased racial disparities. Virginia SRA caused black defendants to be sentenced more harshly.</t>
  </si>
  <si>
    <t xml:space="preserve">Efficiency. Greater public faith in the judicial system. Judicial reform. Consistency. Replacing cash bail. Alternative sentencing. Reducing bias and disparities. Supporting less experienced judges. </t>
  </si>
  <si>
    <t>"The claim that risk assessment instruments promote progressive criminal justice goals in practice is
largely speculative- the few existing empirical studies suggest that risk assessment tools have had little to no impact"</t>
  </si>
  <si>
    <t>Human decisions and machine predictions</t>
  </si>
  <si>
    <t>Kleinberg, Jon, Himabindu Lakkaraju, Jure Leskovec, Jens Ludwig, and Sendhil Mullainathan</t>
  </si>
  <si>
    <t>The quarterly journal of economics</t>
  </si>
  <si>
    <t>Kleinberg, Jon, et al. "Human decisions and machine predictions." The quarterly journal of economics 133.1 (2018): 237-293.</t>
  </si>
  <si>
    <t>Examines using broad statistics the ability of algorithms to improve human decision making. Finds that application of algorithmic decision making could substantially reduce crime while also reducing prison populations.</t>
  </si>
  <si>
    <t xml:space="preserve">Gradient-boosted trees, logistic regression, LASSO (Least Absolute Shrinkage and Selection Operator), facial recognition </t>
  </si>
  <si>
    <t>Yes. Although the paper recognizes that ML is not applied in current risk assessments, it is used here as a research tool.</t>
  </si>
  <si>
    <t>No. This work find that AI and statistical tools can be applied to reduce racial disparities and does not state that algorithmic tools currectly in use are contributing to bias.</t>
  </si>
  <si>
    <t>None listed.</t>
  </si>
  <si>
    <t>Optimizing the trade-off between public safety and liberty. Reduction in crime rates. Reduction in incarceration rates. Less "noisy" decision making. Identifying human error. Reducing bias and racial disparity. Greater predictive accuracy.</t>
  </si>
  <si>
    <t>This is the source of the "crime can be reduced by up to 24.8% with no change in jailing rates, or jail populations can be reduced by 42.0% with no increase in crime rates" stat. Uses statistical tools to expore human decision making, finding that judges often focus on irrelevant features while failing to recognize important ones.</t>
  </si>
  <si>
    <t>Human perceptions of fairness in algorithmic decision making: A case study of criminal risk prediction</t>
  </si>
  <si>
    <t>Grgic-Hlaca, Nina, Elissa M. Redmiles, Krishna P. Gummadi, and Adrian Weller</t>
  </si>
  <si>
    <t>Proceedings of the 2018 world wide web conference</t>
  </si>
  <si>
    <t>Grgic-Hlaca, Nina, et al. "Human perceptions of fairness in algorithmic decision making: A case study of criminal risk prediction." Proceedings of the 2018 world wide web conference. 2018.</t>
  </si>
  <si>
    <t>Reports on a survey of users employing algorithmic risk prediction. Presents predictive criteria for determining if users of risk prediction percieve the algorithm as fari.</t>
  </si>
  <si>
    <t>COMPAS. Scikit Learn.</t>
  </si>
  <si>
    <t>Yes. The authors of this work train a simple ML model to recognize fair and unfair perception of a risk predicgtion algorithm.</t>
  </si>
  <si>
    <t>Yes. Recognizes wide concerns over algorithmic unfairness.</t>
  </si>
  <si>
    <t>Vicious cycle. Economic disparity (people living in high-risk neighborhoods being seen as more likely to re-offend). Proxy variables.</t>
  </si>
  <si>
    <t xml:space="preserve">ProPublica COMPAS report. </t>
  </si>
  <si>
    <t xml:space="preserve">Judicial assistance. Efficient assignment of social benefits. </t>
  </si>
  <si>
    <t>Raises several philosophies for defining fairness.</t>
  </si>
  <si>
    <t>In pursuit of interpretable, fair and accurate machine learning for criminal recidivism prediction</t>
  </si>
  <si>
    <t>Wang, Caroline, Bin Han, Bhrij Patel, and Cynthia Rudin</t>
  </si>
  <si>
    <t>Journal of Quantitative Criminology</t>
  </si>
  <si>
    <t>Wang, Caroline, et al. "In pursuit of interpretable, fair and accurate machine learning for criminal recidivism prediction." Journal of Quantitative Criminology 39.2 (2023): 519-581.</t>
  </si>
  <si>
    <t>Compares the applications of two machine learning models (black-box vs. interpretable) using two publically available recidivism datasets. Demonstrates that the use of interpretable AI does not degrade the performance of ML models on this task.</t>
  </si>
  <si>
    <t>COMPAS. Risk-Calibrated Supersparse Linear Integer Models (Risk-SLIM). Explainable Boosting Machine. Arnold Public Safety Assessment. Random forest. XGBoost. Support vector machines (SVM). Logistic regression. Stochastic gradient boosting. Neural networks. Level of Service Inventory Revised. Ohio Risk Assessment System. Virginia Pretrial Risk Assessment Instrument. Colorado Pretrial Assessment Tool. California Static Risk Assessment. Federal Pretrial Risk Assessment. Statistical Information on Recidivism Score. Service Planning Instrument. Violence Risk Appraisal Guide.</t>
  </si>
  <si>
    <t>Yes. Makes the distinction between ML and actuarial risk assessment. Recognizes that ML is not in wide use currently.</t>
  </si>
  <si>
    <t>Yes. Maintains historical bias and can be selectively applied.</t>
  </si>
  <si>
    <t>Systemic bias. Historical bias. Shows that biased performance results from biased data, not model bias. Demonstrate that even COMPAS is fair with fair data. Scores can be ignored by judges, alowing human bias to continue.</t>
  </si>
  <si>
    <t xml:space="preserve">COMPAS and ProPublica. 2018 Stevenson study in Kentucky. Inconsistent performance of fair models in the "Other" race category (i.e., not black or white). </t>
  </si>
  <si>
    <t xml:space="preserve">More reliable that human intuition. Better predictive performance. Reducing racial and economic bias. More efficient allocation of resources. Reduced incarceration rates. Replacing cash bail. </t>
  </si>
  <si>
    <t>Table 7 gives a good comparison of variables used in tools. Emperical comparison of xAI tools vs. black box vs. actuarial.</t>
  </si>
  <si>
    <t>Inherent trade-offs in the fair determination of risk scores</t>
  </si>
  <si>
    <t>Kleinberg, Jon, Sendhil Mullainathan, and Manish Raghavan</t>
  </si>
  <si>
    <t>Leibniz International Proceedings in Informatics</t>
  </si>
  <si>
    <t>Kleinberg, Jon, Sendhil Mullainathan, and Manish Raghavan. "Inherent trade-offs in the fair determination of risk scores." arXiv preprint arXiv:1609.05807 (2016).</t>
  </si>
  <si>
    <t>Studies the "tension" between several notions of fairness. Shows the theoretical requirered distribution for a theoretical algorithm that would satisfy three chosen definitions of fairness.</t>
  </si>
  <si>
    <t>Yes. Describes ML being used in non-judicial contexts, e.g., advertisement. Describes ML algorithms as informing larger decision-making tools. Specifies that COMPAS is a "statistical method" distinct from ML.</t>
  </si>
  <si>
    <t>Yes. Observes that some tools (COMPAS) are bias in their implication, but clarifies that tools will always have some perception of bias due to conflicting definitions of fairness and that tools require calibration.</t>
  </si>
  <si>
    <t>Not specifically discussed in this paper.</t>
  </si>
  <si>
    <t>COMPAS. Disparities in employment ads shown to men vs. women (non-judicial).</t>
  </si>
  <si>
    <t>More consistent outcomes. Better predictive accuracy.</t>
  </si>
  <si>
    <t>Origin of the Kleinberg tool, discussed elsewhere. Defines a theoretical upper bound for fairness.</t>
  </si>
  <si>
    <t>Interpretable classification models for recidivism prediction</t>
  </si>
  <si>
    <t>Zeng, Jiaming, Berk Ustun, and Cynthia Rudin</t>
  </si>
  <si>
    <t>Journal of the Royal Statistical Society Series A: Statistics in Society</t>
  </si>
  <si>
    <t>Zeng, Jiaming, Berk Ustun, and Cynthia Rudin. "Interpretable classification models for recidivism prediction." Journal of the Royal Statistical Society Series A: Statistics in Society 180.3 (2017): 689-722.</t>
  </si>
  <si>
    <t>Compares the performance of several black-box and interpretable classifiers on the problem of recidivism prediciton. Shows that the interpretable supersparse linear integer model performs on par with the black-box models.</t>
  </si>
  <si>
    <t>Supersparse Linear Integer Models (SLIM). Decision trees. Logistic regression. Random forest. Support vector machines. Stochastic gradient boosting.</t>
  </si>
  <si>
    <t>Yes. This paper explores the accuracy of several ML models compared to one another, rather than discussing its use in any current assessments.</t>
  </si>
  <si>
    <t>No. Bias is not discussed in this paper.</t>
  </si>
  <si>
    <t>Missing or noisy data.</t>
  </si>
  <si>
    <t>None.</t>
  </si>
  <si>
    <t xml:space="preserve">Improved accuracy. "humans, on their own, are not as good at risk assessment as statistical models". Resource allocation. </t>
  </si>
  <si>
    <t>Table 1 presents a substantial list of factors considered as input variables. Compare to other tables in similar papers.</t>
  </si>
  <si>
    <t>Judging risk</t>
  </si>
  <si>
    <t>Garrett, Brandon L., and John Monahan</t>
  </si>
  <si>
    <t>California Law Review</t>
  </si>
  <si>
    <t>Garrett, Brandon L., and John Monahan. "Judging risk." Calif. L. Rev. 108 (2020): 439.</t>
  </si>
  <si>
    <t>Explores the gap in the intention of risk assessment tools and their actual applications by legal officials. Asks if the risk of biased performance is justified by the possibility of reducing mass incarceration.</t>
  </si>
  <si>
    <t>Nonviolent Risk Assessment, Public Safety Assessment, COMPAS, Prisoner Assessment Tool Targeting Estimated Risk and Needs, Sentencing Worksheets and Interactive File Transfer, many others listed in a footnote</t>
  </si>
  <si>
    <t>Yes. Mostly discussed as a possibility but notes that the Pennsylvania Board of Probabtion and Parole has commissioned a study of ML.</t>
  </si>
  <si>
    <t xml:space="preserve">No. Asks if ARA might reinforce rather than reduce bias, but doesn't take a stance. </t>
  </si>
  <si>
    <t xml:space="preserve">Proxy variables. Reinforcing human bias. Outdated data. Diminishing human jugdement by judges.  Lack of training on tools. </t>
  </si>
  <si>
    <t>COMPAS. State v. Loomis. Gender-specific instruments. Kentrucky pretrial risk assessment. Gun crime in Chicago.</t>
  </si>
  <si>
    <t xml:space="preserve">Reducing mass incarceration. Diverting offenders. Cost savings.  </t>
  </si>
  <si>
    <t>Identifies ML as belonging to "5th generation" tools. A central problem facing criminal justice today is that accurate and fair risk assessments will “make little difference if the decision-makers do not understand the information, which is a serious possibility.”"</t>
  </si>
  <si>
    <t>Life, liberty, and trade secrets: Intellectual property in the criminal justice system</t>
  </si>
  <si>
    <t>Wexler, Rebecca.</t>
  </si>
  <si>
    <t>Stanford Law Review</t>
  </si>
  <si>
    <t>Wexler, Rebecca. "Life, liberty, and trade secrets: Intellectual property in the criminal justice system." Stan. L. Rev. 70 (2018): 1343.</t>
  </si>
  <si>
    <t xml:space="preserve">Investigates how companies' claims of trade secrets regarding risk assessment and investigative tools has impacted the fair application of justice. Argues that businesses are overprotected, exposing defendants to diminshed rights in the legal system. </t>
  </si>
  <si>
    <t>TrueAllele(DNA analysis), STRMix(forensic investigation tool), Forensic Statistical Tool, COMPAS, PredPol, Strategic Subject List (social media assessment), HunchLab(predictive policing), ShotSpotter (audio surveilance), Child Protection System (social network investigation), facial recognition</t>
  </si>
  <si>
    <t>Yes. Referes to ML as being in current use as well as the broader "data-driven" systems.</t>
  </si>
  <si>
    <t>Yes. Racial bias can become a self-fulfilling proficy though algorithmic systems. Argues that "black-box", protected IP systems are ill suited to identifying their own biases.</t>
  </si>
  <si>
    <t>Historical data. Tade secrets shielding systems from scrutiny that may expose bias. Potentially biased callibrations of tools e.g., facial recognition.</t>
  </si>
  <si>
    <t>COMPAS. Reimplementaiton of PredPol by external experts showed the system exacerbating racial bias.</t>
  </si>
  <si>
    <t xml:space="preserve">Enhancing accuracy, objectivity, and transparency in criminal justice. Greater efficiency. </t>
  </si>
  <si>
    <t>Makes note of the lack of peer-review in many forensic techniques.</t>
  </si>
  <si>
    <t>Machine learning forecasts of risk to inform sentencing decisions</t>
  </si>
  <si>
    <t>Berk, Richard, and Jordan Hyatt</t>
  </si>
  <si>
    <t>Federal Sentencing Reporter</t>
  </si>
  <si>
    <t>Berk, Richard, and Jordan Hyatt. "Machine learning forecasts of risk to inform sentencing decisions." Federal Sentencing Reporter 27.4 (2015): 222-228.</t>
  </si>
  <si>
    <t>Studies the usability of ML techniques for risk prediction in sentencing. Advocaes for random forest classifier over actuarial methods.</t>
  </si>
  <si>
    <t>Random forests. Level of Service Inventory- Revised</t>
  </si>
  <si>
    <t>Yes. Claims that random forest is already being applied in criminal justice forecasting.</t>
  </si>
  <si>
    <t>No. Argues that while AI might capture some bias, it will be more fair than human judgement alone.</t>
  </si>
  <si>
    <t>The ability to intentionally weight the algorithm in favor of false negatives or false positives. Better transparency. Decreased bias from human judgement. More efficient allocation of resources.</t>
  </si>
  <si>
    <t>Claim of AI neutrality is based on the assummption that "...actuarial methods need not include race as a predictor, and to the best of our knowledge, most do not.", sidestepping the use of features with strong correlation to race, etc, which the author accepts as necesary for predictive accuracy.</t>
  </si>
  <si>
    <t>On chances and risks of security related algorithmic decision making systems</t>
  </si>
  <si>
    <t>Zweig, Katharina A., Georg Wenzelburger, and Tobias D. Krafft</t>
  </si>
  <si>
    <t>European Journal for Security Research</t>
  </si>
  <si>
    <t>Zweig, Katharina A., Georg Wenzelburger, and Tobias D. Krafft. "On chances and risks of security related algorithmic decision making systems." European Journal for Security Research 3.2 (2018): 181-203.</t>
  </si>
  <si>
    <t>Analyses algorithmic decision making and its applications to algorithmic risk assessment. Discusses modeling decision that must be made for accurate risk assessment.</t>
  </si>
  <si>
    <t>COMPAS. SKYNET. Unspecified Oregon risk assessment.</t>
  </si>
  <si>
    <t>Yes. Referes to ML as being standard in algorithmic decision making. Offers explanations of several techniques like k-means and decision boundaries.</t>
  </si>
  <si>
    <t>Yes. Recognizes that there is not social concensus for how to measure bias and that bias can slip in though proxy variables.</t>
  </si>
  <si>
    <t>Reflecting human bias. Proxy variables. Biased historical data.</t>
  </si>
  <si>
    <t>COMPAS. Assymetric feedback loops identified by O'Neil 2016.</t>
  </si>
  <si>
    <t>Less costly and time consuming than human expertise. Objectivity. Reducing human bias. Improved accuracy.</t>
  </si>
  <si>
    <t>Less focused on ARA. Discusses decision making as a whole, but does discuss ARA. Offers a 3-tier taxonomy of different algorethmic decision making systems.</t>
  </si>
  <si>
    <t>Paths to digital justice: Judicial robots, algorithmic decision-making, and due process</t>
  </si>
  <si>
    <t>Fortes, Pedro Rubim Borges</t>
  </si>
  <si>
    <t>Asian Journal of Law and Society</t>
  </si>
  <si>
    <t>Fortes, Pedro Rubim Borges. "Paths to digital justice: Judicial robots, algorithmic decision-making, and due process." Asian Journal of Law and Society 7.3 (2020): 453-469.</t>
  </si>
  <si>
    <t>Explores the possibility of judicial robots, which would potentially assess defendants without human input. The author ultimately concludes that risk assessment should be used as a tool for supporting human judges, which is the approach that is generally applied.</t>
  </si>
  <si>
    <t>COMPAS, DoNotPay, Ross, Tay</t>
  </si>
  <si>
    <t>Yes. Mentions neural networks. Examines applications of ML in other fields as a way of exploring there usability in criminal justice.</t>
  </si>
  <si>
    <t>Yes. Preserving human bias, as shown by chatbot Tay.</t>
  </si>
  <si>
    <t>Maintaining human bias. Historical data. Preventing progress in criminal justice. Poisoning data by users. Proxy variables. "Black box" algorithms.</t>
  </si>
  <si>
    <t>COMPAS. Microsoft's Tay.</t>
  </si>
  <si>
    <t xml:space="preserve">Speedier decision making. Efficiency. Objectivity. Consistency. Greater access to justice. </t>
  </si>
  <si>
    <t>Extended critique of COMPAS.</t>
  </si>
  <si>
    <t>Predictive Analytics and Risk Assessment: A Logical Response to Intimate Partner Homicide</t>
  </si>
  <si>
    <t xml:space="preserve">Ross, Lee E. </t>
  </si>
  <si>
    <t>International Journal of Criminal and Forensic Science</t>
  </si>
  <si>
    <t>Ross, Lee E. "Predictive Analytics and Risk Assessment: A Logical Response to Intimate Partner Homicide." Int J Cri &amp; For Sci 1 (2017): 1-1.</t>
  </si>
  <si>
    <t>Summarizes advances in predictive analytics and risk assessment applied to intimate partner homicide. Advocates in favor of data driven decision making by law enforcement.</t>
  </si>
  <si>
    <t>Multiple linear regression, Danger Assessment, Domestic Violence Screening Inventory, Ontario Domestic Assault Risk Assessment, Spousal Assault Risk Assessment</t>
  </si>
  <si>
    <t>Yes. Presents ML as central to predictive analytics.</t>
  </si>
  <si>
    <t>Saving the lives of potential victims. Early detection of potential recidivism. Validating human judgement.</t>
  </si>
  <si>
    <t>Lays out a three-tier system for risk of victimization. Unlike most other sources, this paper does not focus on tools for assessing risk of re-offense.</t>
  </si>
  <si>
    <t>Pretrial risk assessment instruments in practice: The role of judicial discretion in pretrial reform</t>
  </si>
  <si>
    <t>Copp, Jennifer E., William Casey, Thomas G. Blomberg, and George Pesta</t>
  </si>
  <si>
    <t>Criminology &amp; Public Policy</t>
  </si>
  <si>
    <t>Copp, Jennifer E., et al. "Pretrial risk assessment instruments in practice: The role of judicial discretion in pretrial reform." Criminology &amp; Public Policy 21.2 (2022): 329-358.</t>
  </si>
  <si>
    <t>Examines the use of pretrial risk assessment tools in the US. Finds that judges often overlook the recomendation of tools.</t>
  </si>
  <si>
    <t>Virginia Pretrial Risk Assessment Instrument- Revised, Public Safety Assessment, Pretrial Risk Assessment</t>
  </si>
  <si>
    <t>No. This work refers to algorithmic or actuarial tools, but does not specifically mention ML.</t>
  </si>
  <si>
    <t>Yes. Racial bias and reinforcement of judicial bias.</t>
  </si>
  <si>
    <t>Algorithmic bias within the tools. Reinforcing historical bias. Selective application by judges.</t>
  </si>
  <si>
    <t>Skewed misidentification of black and latino defendants as high risk by VPRAI-R. Selective application of VPRAI-R</t>
  </si>
  <si>
    <t xml:space="preserve">Reducing population of pretrial defendants. Better objectivity. Reducing reliance on cash bail. Greater efficiency. </t>
  </si>
  <si>
    <t>Focuses exclusivley on pre-trial risk assessment. Extensive analysis of Virgina ARA tool.</t>
  </si>
  <si>
    <t>Pretrial risk assessment instruments in the US criminal justice system—what lessons can be learned for the European Union</t>
  </si>
  <si>
    <t>Novokmet, Ante, Zvonimir Tomičić, and Zoran Vinković</t>
  </si>
  <si>
    <t>International journal of law and information technology</t>
  </si>
  <si>
    <t>Novokmet, Ante, Zvonimir Tomičić, and Zoran Vinković. "Pretrial risk assessment instruments in the US criminal justice system—what lessons can be learned for the European Union." International journal of law and information technology 30.1 (2022): 1-22.</t>
  </si>
  <si>
    <t>Analyses the use us AI-driven risk assessment in the US as a case study for application in th European Union. Weighs the balance between technological efficiancy and human rights.</t>
  </si>
  <si>
    <t>Public Safety Assessment, COMPAS, Federal Pretrial Risk Assessment Instrument, PredPol, GeoLitical, OASys(EU tool), OxRec(EU tool), SyRI(EU tool)</t>
  </si>
  <si>
    <t>Yes. States that judges assessments are increasingly informed by AI and ML</t>
  </si>
  <si>
    <t xml:space="preserve">Yes. Racial and socio-economic bias. </t>
  </si>
  <si>
    <t xml:space="preserve">Algorithmic bias within the tools. Bias in historical data. Proxy variables. Over-policing becoming a self-fulfilling prophecy.  </t>
  </si>
  <si>
    <t>Improved predictive accuracy. Bail reform. Reduced incarceration. Objectivity. Transparency. Greater efficiency. Support for judges.</t>
  </si>
  <si>
    <t>Discussion of law in US, but the analysis of US system is helpful for our study.</t>
  </si>
  <si>
    <t>Reprogramming recidivism: the first step act and algorithmic prediction of risk</t>
  </si>
  <si>
    <t>Cyphert, Amy B</t>
  </si>
  <si>
    <t>Seton Hall Law Review</t>
  </si>
  <si>
    <t>Cyphert, Amy B. "Reprogramming recidivism: the first step act and algorithmic prediction of risk." Seton Hall L. Rev. 51 (2020): 331.</t>
  </si>
  <si>
    <t>Introduces a newly developed tool called PATTERN, which is a result of the First Step Act. Argues that PATTERN has captured biases present in historical data.</t>
  </si>
  <si>
    <t>PATTERN, COMPAS, Bureau Risk Assesment Verification and Observation and the updated BRAVO-R</t>
  </si>
  <si>
    <t>Yes. "Many of today's tools are algorithms that are fueled by machine
learning, which allows them to consider many more factors than ever
before and to also more closely examine the myriad ways in which those
factors might interact with each other."</t>
  </si>
  <si>
    <t>Yes. Racial bias. "Black box" problem. "This new field of algorithms has been attacked as opaque, shielded in secrecy, and racially biased."</t>
  </si>
  <si>
    <t xml:space="preserve">Biased training or historical data, specifically citing BoP dataset. Lack of transparency. Inconsistent definitions for fairness. </t>
  </si>
  <si>
    <t>COMPAS. AUC analyses of PATTERN.</t>
  </si>
  <si>
    <t>Reduced prison population. Supporting decision making by judges. Greater predictive accuracy. Greater objectivity. Better resource allocation. Incentiving prisoners to participate in rehabilitation activities.</t>
  </si>
  <si>
    <t>Good historical context, making comparisons to tools from Bureau of Prisons in the 1970s. Interesting discussion of risk vs. needs assessment.</t>
  </si>
  <si>
    <t>Risk assessment in criminal sentencing</t>
  </si>
  <si>
    <t>Monahan, John, and Jennifer L. Skeem</t>
  </si>
  <si>
    <t>Annual review of clinical psychology</t>
  </si>
  <si>
    <t>Monahan, John, and Jennifer L. Skeem. "Risk assessment in criminal sentencing." Annual review of clinical psychology 12.1 (2016): 489-513.</t>
  </si>
  <si>
    <t>Explores risk assessment tools as a means of addressing mass incarceration, using a specific theory of sentencing called "limited retributivism". Compares fixed risk markers to variable factors.</t>
  </si>
  <si>
    <t xml:space="preserve">Level of Service Inventory - Revised, "the Virginia risk assessment" (presumably VPRAI), California Static Risk Assessment Instrument, Static-99R, HCR-20, Pennsylvania Commission on Sentencing Risk Scale </t>
  </si>
  <si>
    <t>No. ML is not mentioned.</t>
  </si>
  <si>
    <t>No. The source present bias and disparate impacts as a concern rather than a current reality.</t>
  </si>
  <si>
    <t>Proxy variables. Tools can be free of predictive bias, but still have disparate impact.</t>
  </si>
  <si>
    <t>Hypothetical warning from Eric Holder. Existing disparity in Bureau of Justice statistics. Pensylvania's changes to its risk score to exclude "county" from its risk scale.</t>
  </si>
  <si>
    <t>Reducing prison populations. Removing high-risk offenders. Greater transparency than human judgement. Greater consistency than human judgement. Reducing bias.</t>
  </si>
  <si>
    <t>Discusses definitions of "risk" as well as bias and disparate impact.</t>
  </si>
  <si>
    <t>Risk scores, label bias, and everything but the kitchen sink</t>
  </si>
  <si>
    <t>Zanger-Tishler, Michael, Julian Nyarko, and Sharad Goel</t>
  </si>
  <si>
    <t>Science Advances</t>
  </si>
  <si>
    <t>Zanger-Tishler, Michael, Julian Nyarko, and Sharad Goel. "Risk scores, label bias, and everything but the kitchen sink." Science Advances 10.13 (2024): eadi8411.</t>
  </si>
  <si>
    <t xml:space="preserve">Challenges the common "kitchen sink" approach in designing risk assessment algorithms, which assumes more information always yields more accurate predictions. </t>
  </si>
  <si>
    <t xml:space="preserve">No. The paper uses AUC, a common tool for assessing ML, but explores statistical feature selection techniques rather than classification or risk scoring. </t>
  </si>
  <si>
    <t xml:space="preserve">Proxy variables. Including "everything" rather than carefully selecting variables. </t>
  </si>
  <si>
    <t xml:space="preserve">The authors analysis shows: healthcare assessments identifying high-cost rather than high-needs patients, criminal justice asssesments predicting arrests rather than crime.  </t>
  </si>
  <si>
    <t>Greater predictive accuracy. Efficient resource allocation. Greater equity. Supporting decision makers.</t>
  </si>
  <si>
    <t>Not exclusively criminal justice focused. Also looks at risk assessment in banking and education. Warns that available data is often only a representation of the desired feature, so features should be selected carefully.</t>
  </si>
  <si>
    <t>Smart Justice? Making sense of the rise of algorithm-based pre-trial risk assessment in criminal justice through ‘legal models</t>
  </si>
  <si>
    <t>Wenzelburger, Georg, Karen Yeung, and Kathrin Hartmann</t>
  </si>
  <si>
    <t>Digital Society</t>
  </si>
  <si>
    <t>Wenzelburger, Georg, Karen Yeung, and Kathrin Hartmann. "Smart Justice? Making sense of the rise of algorithm-based pre-trial risk assessment in criminal justice through ‘legal models’." Digital Society 4.2 (2025): 48.</t>
  </si>
  <si>
    <t>Uses three approaches to systematic justice to study the use of algorithmic risk assessment and its place in ongoing reform of the justice system.</t>
  </si>
  <si>
    <t>VERA scale, non-specific references to algorithmic and ML techniques.</t>
  </si>
  <si>
    <t>Yes. Identifies the use of ML as central to the third wave of criminal justice reform.</t>
  </si>
  <si>
    <t>Yes. Socioeconomic bias. Objectifying subjective human judegement.</t>
  </si>
  <si>
    <t>Blindness to the socio-economic conditions of individuals. Algorithmic tools capturing older approaches to justice.</t>
  </si>
  <si>
    <t>Comparison of systems to academic models of justice.</t>
  </si>
  <si>
    <t>Reduced costs in the legal system. Objectivity. Greater predictive accuracy. Better public safety. Reduced bias.</t>
  </si>
  <si>
    <t>Studies ARA as a tool in the spectrum of "retributive justice", "actuarial justice", and "preventive justice", and defines three "waves" of reform in the history of criminal justice in the US</t>
  </si>
  <si>
    <t>Technologies of crime prediction: The reception of algorithms in policing and criminal courts</t>
  </si>
  <si>
    <t>Brayne, Sarah, and Angèle Christin</t>
  </si>
  <si>
    <t>Social problems</t>
  </si>
  <si>
    <t>Brayne, Sarah, and Angèle Christin. "Technologies of crime prediction: The reception of algorithms in policing and criminal courts." Social problems 68.3 (2021): 608-624.</t>
  </si>
  <si>
    <t>Investigates the integration of predictive algorithms into the US criminal justice system. Finds that legal professionals often have negative perceptions of the tools as intrusive and harmful to professional autonomy.</t>
  </si>
  <si>
    <t>PredPol, Palantir, CompStat, automatic vehicle locator</t>
  </si>
  <si>
    <t>Yes. Describes the use of pattern recognition tools by courts.</t>
  </si>
  <si>
    <t>Yes. States that algorithmic systems maintain historical bias.</t>
  </si>
  <si>
    <t>Proxy variables. Capturing the bias of designers. Biased historical data. Displacing human discretion.</t>
  </si>
  <si>
    <t>LAPD Chronic Offender System creates feedback loop. 1984 Sentencing Reform Act contributed to bias by limiting the discretion of judges.</t>
  </si>
  <si>
    <t>Objectivity. Reduced human bias. Efficient use of policing resources. More regulatory compliance from police forces. Accountability. Reduction of crime.</t>
  </si>
  <si>
    <t>Strong historical perspective, referencing particular legal actions. Focuses on predictive policing rather than specifically courtroom tools.</t>
  </si>
  <si>
    <t>The accuracy, fairness, and limits of predicting recidivism</t>
  </si>
  <si>
    <t>Dressel, Julia, and Hany Farid</t>
  </si>
  <si>
    <t>Science advances</t>
  </si>
  <si>
    <t>Dressel, Julia, and Hany Farid. "The accuracy, fairness, and limits of predicting recidivism." Science advances 4.1 (2018): eaao5580.</t>
  </si>
  <si>
    <t>Compares the accuracy of human predictors of recidivism to COMPAS. Shows that COMPAS is no more accurate than non-specialist humans and that similar accuracy is possible with only two features considered.</t>
  </si>
  <si>
    <t>Logistic regression, nonlinear SVM, COMPAS</t>
  </si>
  <si>
    <t>Yes. Notes that ML is common in recidivism prediction. Compares COMPAS's performance to some simple ML predictors.</t>
  </si>
  <si>
    <t>No, but argues that AI is ineffective in reducing bias.</t>
  </si>
  <si>
    <t>Biased data. Incorrect definition of recidivism. Human bias captured by algorithmic systems. Proxy variables.</t>
  </si>
  <si>
    <t>Experimental analysis of COMPAS.</t>
  </si>
  <si>
    <t>Increased accuracy. Reduced bias. Structured decision making.</t>
  </si>
  <si>
    <t>Presents experimental results critical of COMPAS's performance.</t>
  </si>
  <si>
    <t>The effect of risk assessment scores on judicial behavior and defendant outcomes</t>
  </si>
  <si>
    <t>Sloan, Carly Will, George Naufal, and Heather Caspers</t>
  </si>
  <si>
    <t>Journal of Human Resources</t>
  </si>
  <si>
    <t>Sloan, CarlyWill, George Naufal, and Heather Caspers. "The effect of risk assessment scores on judicial behavior and defendant outcomes." Journal of Human Resources 60.5 (2025): 1778-1810.</t>
  </si>
  <si>
    <t>A case study of Travis County, TX. Uses the 2013 policy change in the county to examine the impact that of pretrial risk assessment tools on pretrial retention rates and on pretrial crime.</t>
  </si>
  <si>
    <t>Ohio Risk Assessment System-Pretrial Assessment Tool, Public Safety Assessment, the Kleinberg tool</t>
  </si>
  <si>
    <t>No. This paper referes to ORAS-PAT as a "checklist" style risk assessment but recognizes that ML was explored by Kleinberg.</t>
  </si>
  <si>
    <t>No. The paper ackowledges concerns of bias but does not specifically find bias in the studied example.</t>
  </si>
  <si>
    <t>Pro-publica article "Machine Bias" from 2019.</t>
  </si>
  <si>
    <t>Reduced pretrial costs. Reduced pretrial detention. Better outcomes for low-income defendants. Reduced conviction rates. Reduction of bias. Reduced crime rates.</t>
  </si>
  <si>
    <t>Experimental observation of Travis County using 2013 as a discontinuity for regression study.</t>
  </si>
  <si>
    <t>The impact of algorithmic risk assessments on human predictions and its analysis via crowdsourcing studies</t>
  </si>
  <si>
    <t>Fogliato, Riccardo, Alexandra Chouldechova, and Zachary Lipton</t>
  </si>
  <si>
    <t>Proceedings of the ACM on Human-Computer Interaction</t>
  </si>
  <si>
    <t>Fogliato, Riccardo, Alexandra Chouldechova, and Zachary Lipton. "The impact of algorithmic risk assessments on human predictions and its analysis via crowdsourcing studies." Proceedings of the ACM on Human-Computer Interaction 5.CSCW2 (2021): 1-24.</t>
  </si>
  <si>
    <t>Studies the predictive ability of laypeople deciding whether sampled defendants will be re-arrested. Finds that risk assessment instruments do not strongly impact their decions.</t>
  </si>
  <si>
    <t>COMPAS, public safety assessment, Pennsylvania Sentence Risk Assessment Instrument, random forest, Least Absolute Shrinkage and Selection Operator, logistic regression, extreme gradient boosting</t>
  </si>
  <si>
    <t>Yes. ML is used to construct risk assessment instruments described in this paper.</t>
  </si>
  <si>
    <t xml:space="preserve">Yes. Promoting inequality. Racial bias. "disparate interactions". </t>
  </si>
  <si>
    <t>Biased source data. Human disregard of machine recommendations. Miscalibrated tooled. Amplifying existing disparities.</t>
  </si>
  <si>
    <t>Comparison of crouwdsouruced redults to ARA tool using COMPAS dataset.</t>
  </si>
  <si>
    <t>Efficiency. "Fast, accurate, objective, and cheap decision making at scale". Reduced variability. Calibration as a tool for overcoming racial bias.</t>
  </si>
  <si>
    <t xml:space="preserve">"The time spent on the survey varies widely across participants and most cases are assessed in less than 10 seconds". Shows that judges are often much better at predicting re-arrest than algorithmic tools or lay people (ref. Figure 6). </t>
  </si>
  <si>
    <t>The institutional life of algorithmic risk assessment</t>
  </si>
  <si>
    <t>Solow-Niederman, Alicia, YooJung Choi, and Guy Van den Broeck</t>
  </si>
  <si>
    <t>Berkley Technology Law Journal</t>
  </si>
  <si>
    <t>Solow-Niederman, Alicia, YooJung Choi, and Guy Van den Broeck. "The institutional life of algorithmic risk assessment." Berkeley Tech. LJ 34 (2019): 705.</t>
  </si>
  <si>
    <t>Examines the existence of algorithmic risk assessment as one member of a larger legal ecosystem. Studies the tension between high-level policy makers and local legal practitioners.</t>
  </si>
  <si>
    <t>COMPAS, Public Safety Assessment, Federal Pretrial Risk Assessment</t>
  </si>
  <si>
    <t>Yes. Plots risk assessment tools on a spectrum from simple to complex, but recognizes that even a simple linear regression qualifies as ML</t>
  </si>
  <si>
    <t>Yes. Racial and gender bias.</t>
  </si>
  <si>
    <t>Proxy variables. Historical bias in data. Simpsons Paradox causing tools to appear fair at a local level while wider analysis shows biased behavior. Over-reliance on automation rather than human judgement. Inconsistent definitions of fairness.</t>
  </si>
  <si>
    <t>COMPAS. Demographic analysis of California following the passing of SB10. "Redlining" is given as an example of proxy variables applied to intentional racial discrimination.</t>
  </si>
  <si>
    <t>Reducing the bias of human judgement. Removing the socioeconomic disparity of cash bail. Individualized assessment. Greater accuracy and predictive power than human judgement.</t>
  </si>
  <si>
    <t>Examines the changes in Californias legal system caused by SB10, which eleminated the state's money bail system. Also uses the "five generation" taxonomy if ARA tools.</t>
  </si>
  <si>
    <t>The intersection of race and algorithmic tools in the criminal legal system</t>
  </si>
  <si>
    <t>Southerland, Vincent M</t>
  </si>
  <si>
    <t>Maryland Law Review</t>
  </si>
  <si>
    <t>Southerland, Vincent M. "The intersection of race and algorithmic tools in the criminal legal system." Md. L. Rev. 80 (2020): 487.</t>
  </si>
  <si>
    <t>Investigates the use of algorithmic tools in policing, bail, and sentencing and their effect of the deep-seated racial bias of the legal system. Argues that tools outside of the judicial system, like community investment, must be used to close racial disparities rather than digital instruments.</t>
  </si>
  <si>
    <t>PredPol, HunchLab, Strategic Subject List, CompStat, Public Safety Assessment, Virginia Nonviolent Risk Assessment, CAPstat</t>
  </si>
  <si>
    <t>Yes. Specifically includes ML in the umbrella term of "algorithmic tools".</t>
  </si>
  <si>
    <t>Yes. Racial bias.</t>
  </si>
  <si>
    <t xml:space="preserve">Biased historical data. Garbage In, Garbage Out. Digital profiling, assigning individual traits baed on group inclusion. The Ratchet Effect and self-fulfilling proficies. Hiding human bias. </t>
  </si>
  <si>
    <t xml:space="preserve">COMPAS. Data from Human Rights Data Analysis Group regarding PredPol in Oakland. A study by RAND Corporation of Strategic Subject List in Chicago. VNRA failing to reduce racial disparity in Virginia. PSA in New Jersey. </t>
  </si>
  <si>
    <t>Reducing prison populations. Ending money bail. Holding acters within the system accountable for bias. Race neutrality. "Flipping the gaze", i.e. using algorithmic tools to analyze the system rather than the accused. Greater accountability. Smart sentencing. Focusing on high-risk individuals.</t>
  </si>
  <si>
    <t xml:space="preserve">Opens with some excellent lines from Mos Def. Very strong collection of past applications of ARA contributing to (or susteaining) biased performance in legal systems. </t>
  </si>
  <si>
    <t>The intuitive-override model: Nudging judges toward pretrial risk assessment instruments</t>
  </si>
  <si>
    <t>DeMichele, Matthew, Megan Comfort, Kelle Barrick, and Peter Baumgartner</t>
  </si>
  <si>
    <t>DeMichele, Matthew, et al. "The intuitive-override model: Nudging judges toward pretrial risk assessment instruments." Fed. Probation 85 (2021): 22.</t>
  </si>
  <si>
    <t>This work uses the intuitive-override model to argue that pretrial risk assessment instruments can serve as a "cognitive speed bump" to introduce objective actuarial data into a subjective decision making process.</t>
  </si>
  <si>
    <t>Public Safety Assessment, Post-Conviction Risk Assessment, Indiana Risk Assessment System- Pretrial Assessment Tool</t>
  </si>
  <si>
    <t xml:space="preserve">Yes. Does not us the phrase "machine learning" but states that techniques like linear regression have been used to develop the actuarial tools discussed. </t>
  </si>
  <si>
    <t>No. Recognizes the concern and cotroversy surrounding risk assessment tools but does not conclude that ARA directly contributes to bias.</t>
  </si>
  <si>
    <t>Mathematical trade off between different definitions of fairness. Biased historical data.</t>
  </si>
  <si>
    <t>COMPAS and the ProPublica investigation. Age bias in the PCRA from 2017 study. Presents anecdotal evidence collected from interviews with judges.</t>
  </si>
  <si>
    <t>Reducing human bias. Greater predictive accuracy. Greater speed. Consistency across cases. Objectivity. Standardization.</t>
  </si>
  <si>
    <t>Summarizes interviews with judges who have been using PSA specifically. Lays out the procedure by which PSA is given to defendants by officers of teh court.</t>
  </si>
  <si>
    <t>The need for transparency in the age of predictive sentencing algorithms</t>
  </si>
  <si>
    <t>Carlson, Alyssa M</t>
  </si>
  <si>
    <t>Iowa Law Review</t>
  </si>
  <si>
    <t>Carlson, Alyssa M. "The need for transparency in the age of predictive sentencing algorithms." Iowa L. Rev. 103 (2017): 303.</t>
  </si>
  <si>
    <t>Analyzes the potential for predictive tools to lower crime rates by focusing resources on the criminal populatrion. Finds a need for transparency that is missing in proprietary software, which is often protected as a trade secret.</t>
  </si>
  <si>
    <t>COMPAS. Public Safety Assessment. Level of Service Inventory - Revised. Pennsylvania Risk Assessment Project</t>
  </si>
  <si>
    <t>No. The text discusses "statistical tools" etc. but does not specifically discuss ML.</t>
  </si>
  <si>
    <t>Yes. Racial and socio economic bias.</t>
  </si>
  <si>
    <t>Exacerbating existing disparities, quoting Eric Holder. Miscalibrated error rates. Capturing human bias in historical data. Penalizing poverty rather than criminal intent. Proxy variables.</t>
  </si>
  <si>
    <t>COMPAS. State v. Loomis. Statement from Eric Holder.</t>
  </si>
  <si>
    <t>Better resource allocation. Reducing incarderation rates. More objectivity. Reduced crime rates. Reduced recidivism. Reduced costs. Supporting rehabilitation and providing treatment rather than imprisonment for low-risk offenders.</t>
  </si>
  <si>
    <t>Goop discussion of the protections afforeded for software as trade secrets. "There are over 60 different types of risk assessment tools currently in use in courthouses throughout the United States."</t>
  </si>
  <si>
    <t>The use of artificial intelligence in gauging the risk of recidivism</t>
  </si>
  <si>
    <t>Hillman, Noel L</t>
  </si>
  <si>
    <t>The Judges Journal</t>
  </si>
  <si>
    <t>Hillman, Noel L. "The use of artificial intelligence in gauging the risk of recidivism." Judges J. 58 (2019): 36.</t>
  </si>
  <si>
    <t>Views the use of AI tools for risk assesment through three distinct analytical lenses: due process, implicit bias, and the abdication of judicial responsibility. Argues that sentencing is uniquely human and requires human judgement.</t>
  </si>
  <si>
    <t>Yes. While machine learning continues to improve and the very nature of AI hints at structured, rigorous, and evolving methodologies, one is reminded of the adage of "garbage in, garbage out."</t>
  </si>
  <si>
    <t>Yes. "AI technology presents unacceptable risks of error and implicit bias". Defendants are denied adequate defense becuase black box AI cannot explain its decisions or justify its claims.</t>
  </si>
  <si>
    <t>"However, recidivism risk modeling still involves human choices about what characteristics and factors should be assessed, what hierarchy governs their application, and what relative weight should be ascribed to each." Bias in hostorical data. Balck box functionality and a lack of transparency.</t>
  </si>
  <si>
    <t>COMPAS. State v. Loomis.</t>
  </si>
  <si>
    <t>Rehabilitation. Decreased danger to communities. Structure, rigorous evaluations.</t>
  </si>
  <si>
    <t>Written by an actual judge. Discussed the use of "predictive AI technology" in very broad terms with very few specifics.</t>
  </si>
  <si>
    <t>This thing called fairness: Disciplinary confusion realizing a value in technology</t>
  </si>
  <si>
    <t>Mulligan, Deirdre K., Joshua A. Kroll, Nitin Kohli, and Richmond Y. Wong</t>
  </si>
  <si>
    <t>Mulligan, Deirdre K., et al. "This thing called fairness: Disciplinary confusion realizing a value in technology." Proceedings of the ACM on Human-Computer Interaction 3.CSCW (2019): 1-36.</t>
  </si>
  <si>
    <t>Proposes a shared vocabulary and tool base for discussions of values and fairness with the intention of minimizing "disciplinary confusion".</t>
  </si>
  <si>
    <t>Yes. Identifies ML as a "core technical tool"</t>
  </si>
  <si>
    <t>Proxy variables. Biased historical training data. "fairness through blindness". Sees algorithms as part of a broader sociotechnical system.</t>
  </si>
  <si>
    <t>COMPAS. Actions of Child Protective Services in Allegheny County. Targeted advertising.</t>
  </si>
  <si>
    <t>Reducing human bias. Objectivity. Consistency. Efficiency. Supporting CJ reform. The opportunity to embed social values  using software.</t>
  </si>
  <si>
    <t>Distinguishes group and individual fairness. Good discussion of the "conceptions of fairness"</t>
  </si>
  <si>
    <t>Time for a change: Examining the relationships between recidivism-free time, recidivism risk, and risk assessment</t>
  </si>
  <si>
    <t>Frisch-Scott, Nicole E., and Kiminori Nakamura</t>
  </si>
  <si>
    <t>Justice Quarterly</t>
  </si>
  <si>
    <t>Frisch-Scott, Nicole E., and Kiminori Nakamura. "Time for a change: Examining the relationships between recidivism-free time, recidivism risk, and risk assessment." Justice Quarterly 39.6 (2022): 1156-1179.</t>
  </si>
  <si>
    <t>Analyzes peroless in Pennsylvania to understand how recidivism prediction tools can meet the needs of a growing prison population and a greater need for community monitorin. Recommends that time between recidivism events be considered as a feature for prediciton.</t>
  </si>
  <si>
    <t>Level of Service Inventory- Revised. Post-Conviction Risk Assessment. Salient Factor Score. Static-99.</t>
  </si>
  <si>
    <t>No. The source acknowledges concerns of bias without claiming that AI or actuarial tools are contributing to bias.</t>
  </si>
  <si>
    <t>More efficient allocation of resources. Better public safety. Individual case management and supervision. Supporting the human decision-making process.</t>
  </si>
  <si>
    <t>Only referes to four generations of tools. Recomends that "recidivism-free time" be considered as a feature, rather than recidivism being treated as a binary feature.</t>
  </si>
  <si>
    <t>Uncertainty, risk and the use of algorithms in policy decisions: A case study on criminal justice in the USA</t>
  </si>
  <si>
    <t>Hartmann, Kathrin, and Georg Wenzelburger</t>
  </si>
  <si>
    <t>Policy Sciences</t>
  </si>
  <si>
    <t>Hartmann, Kathrin, and Georg Wenzelburger. "Uncertainty, risk and the use of algorithms in policy decisions: A case study on criminal justice in the USA." Policy Sciences 54.2 (2021): 269-287.</t>
  </si>
  <si>
    <t>Examines a shifting judicial approach to recidivism prediction from uncertainty to statistical risk. Argues that algorithmic risk prediction can give the appearance of statistical prediction to a fundamentally uncertain situation.</t>
  </si>
  <si>
    <t>COMPAS. PROXY. Wisconsin Risk Need Assessment Instrument.</t>
  </si>
  <si>
    <t>Yes, explicitly refers to COMPAS as ML.</t>
  </si>
  <si>
    <t>Yes. Ethnic and gender inequality.</t>
  </si>
  <si>
    <t>Bias in historical data.</t>
  </si>
  <si>
    <t xml:space="preserve">A novel exploration of COMPAS applied in Wisconsin courts. </t>
  </si>
  <si>
    <t>Greater efficiency. Recognizing patterns more quickly than humans. Reducing uncertainty in high-stakes decisions. Protecting low-risk offenders. Streamling plea negotiations. Better resource allocation. "smarter" sentencing. Blame avoidance.</t>
  </si>
  <si>
    <t>Uses COMPAS in Wisconsin as a case study, a rare break from the Broward County study.</t>
  </si>
  <si>
    <t>Using daubert to evaluate evidence-based sentencing</t>
  </si>
  <si>
    <t>Hopkinson, Charlotte</t>
  </si>
  <si>
    <t>Cornell Law Review</t>
  </si>
  <si>
    <t>Hopkinson, Charlotte. "Using daubert to evaluate evidence-based sentencing." Cornell L. Rev. 103 (2017): 723.</t>
  </si>
  <si>
    <t>A legal analysis of evidence-based sentencing using the Daubert Standard to examine the error rates and acceptance of algorithmic tools. Examines the constitutionality of using protected features like sex and age.</t>
  </si>
  <si>
    <t>COMPAS. Level of Services Inventory- Revised. Ohio Risk Assessment System. Post Conviction Risk Assessment. Pensylvannia Commision on Sentencing Risk Assessment.</t>
  </si>
  <si>
    <t>Yes. Racial and gender bias. Notes judicial concerns in Wisconsin Supreme Court.</t>
  </si>
  <si>
    <t xml:space="preserve">Exacerbating existing disparities. Feedback loops. Biased features, like sex and age. </t>
  </si>
  <si>
    <t>A validaiton study by the Pennsylvania Commision on Sentencing. Testimony from the Defender Association of Philidelphia. Wisconsin Supreme Court warning. DoJ warning.</t>
  </si>
  <si>
    <t>Reduced incaceration rates. Lower costs. Greater fairness. Reduced discrimination. Identifying high risk offenders. Greater transparency. Solution for discrimination.</t>
  </si>
  <si>
    <t>A good blend of scientific rigor with legal permissability.</t>
  </si>
  <si>
    <t>Blind Justice: Algorithmically Masking Race in Charging Decisions</t>
  </si>
  <si>
    <t>Chohlas-Wood, Alex, Joe Nudell, Keniel Yao, Zhiyuan Lin, Julian Nyarko, and Sharad Goel</t>
  </si>
  <si>
    <t>Proceedings of the 2021 AAAI/ACM Conference on AI, Ethics, and Society</t>
  </si>
  <si>
    <t>Chohlas-Wood, Alex, Joe Nudell, Keniel Yao, Zhiyuan Lin, Julian Nyarko, and Sharad Goel. "Blind justice: Algorithmically masking race in charging decisions." In Proceedings of the 2021 AAAI/ACM Conference on AI, Ethics, and Society, pp. 35-45. 2021.</t>
  </si>
  <si>
    <t>Introduces a natural language processing tool for removing race related information from criminal risk assessmetns. Assesses the tool using human anotators reading for racially identifying information. However the tool was assessed in a district with substantial observed racial bias, so in the end, had little effect on sentencing.</t>
  </si>
  <si>
    <t>Natural Language Processing, Named Entity Recognition, GloVe Embeddings, Gradient-boosted decision trees</t>
  </si>
  <si>
    <t>Yes, this paper introduces a tool for racial masking which is based in ML.</t>
  </si>
  <si>
    <t>Yes. This work acknowledges that predictive algorithms can contribute to bias. The tool presented in this work, however, is intentionally not predictive.</t>
  </si>
  <si>
    <t>Bias in historical data. Overfitting to group characteristics.</t>
  </si>
  <si>
    <t>Theoretical rather than observational.</t>
  </si>
  <si>
    <t>Mitigating human bias. Decision auditing. Greater efficiency.</t>
  </si>
  <si>
    <t>Focuses on risk assesments as used by prosecutors for determining which cases should go to trial, rather than on assessments used by judges.</t>
  </si>
  <si>
    <t>Algorithmic Decision Making and the Cost of Fairness</t>
  </si>
  <si>
    <t>Corbett-Davies, Sam, Emma Pierson, Avi Feller, Sharad Goel, and Aziz Huq</t>
  </si>
  <si>
    <t>Proceedings of the 23rd acm sigkdd international conference on knowledge discovery and data mining</t>
  </si>
  <si>
    <t>Corbett-Davies, Sam, Emma Pierson, Avi Feller, Sharad Goel, and Aziz Huq. "Algorithmic decision making and the cost of fairness." In Proceedings of the 23rd acm sigkdd international conference on knowledge discovery and data mining, pp. 797-806. 2017.</t>
  </si>
  <si>
    <t>Analyzes the tradeoffs in fairness in risk assessment. Shows that risk prediction algorithms unconstrained by fairness require race-specific thresholds while constrained algorithms do not.</t>
  </si>
  <si>
    <t>COMPAS. Logistic regression. Berk Risk Assessment Tool.</t>
  </si>
  <si>
    <t>Yes. ML is not specifically discussed by name. Does discuss predictive tools, and specifically mentions logistic regression, which is an ML tool.</t>
  </si>
  <si>
    <t>Yes. Racial bias and the unequal impact of "colorblind" algorithms.</t>
  </si>
  <si>
    <t>Bias in historial data. Algorithms that are optimized for public safety rather than fairness. Tradeoffs.</t>
  </si>
  <si>
    <t>COMPAS and Broward County.</t>
  </si>
  <si>
    <t>Improving efficiency. Improving equity. Maximizing public safety. Less individual burden. Reducing incarceration.</t>
  </si>
  <si>
    <t>"Statistical risk assessment has been used in criminal justice for nearly one hundred years, dating back to parole decisions in the1920s"
"In a randomized controlled trial, the Philadelphia Adult Probation and Parole Department evaluated the e_x0082_fectiveness of a risk assessment tool developed by Berk et al. [10], and found the tool reduced the burden on parolees without signi_x0080_cantly increasing rates of re-f_x0082_ense"</t>
  </si>
  <si>
    <t>Reason</t>
  </si>
  <si>
    <t>Located In</t>
  </si>
  <si>
    <t>“Why Do I Care What’s Similar?” Probing Challenges in AI-Assisted Child Welfare Decision-Making through Worker-AI Interface Design Concepts</t>
  </si>
  <si>
    <t>Kawakami, Anna and Sivaraman, Venkatesh and Stapleton, Logan and Cheng, Hao-Fei and Perer, Adam and Wu, Zhiwei Steven and Zhu, Haiyi and Holstein, Kenneth</t>
  </si>
  <si>
    <t>Focus on Juveniles</t>
  </si>
  <si>
    <t>ACM Digital Library</t>
  </si>
  <si>
    <t>Accuracy and racial biases of recidivism prediction instruments</t>
  </si>
  <si>
    <t>Julia J. Dressel</t>
  </si>
  <si>
    <t>Student Thesis</t>
  </si>
  <si>
    <t>Google Scholar</t>
  </si>
  <si>
    <t>Addressing Delayed Justice in the Indian Legal System through AI Integration</t>
  </si>
  <si>
    <t>Joshi, Kavita Ajay and Mathur, Priya and Koranga, Ravindra and Singh, Lalit</t>
  </si>
  <si>
    <t>Non-US</t>
  </si>
  <si>
    <t>Addressing Procedural and Tooling Challenges in Juvenile Justice: Towards Responsible and Human-Centered Design</t>
  </si>
  <si>
    <t>S Gilman, Elizabeth and Flathmann, Christopher and Dixon, Emma</t>
  </si>
  <si>
    <t>Algorithmic Fairness and Structural Injustice: Insights from Feminist Political Philosophy</t>
  </si>
  <si>
    <t>Kasirzadeh, Atoosa</t>
  </si>
  <si>
    <t>Not courtwoom risk-assessment focused</t>
  </si>
  <si>
    <t>Algorithmic Governance and Governance of Algorithms</t>
  </si>
  <si>
    <t xml:space="preserve">M Ebers, MC Gamito </t>
  </si>
  <si>
    <t>Textbook</t>
  </si>
  <si>
    <t>Algorithmic governance: Technology, knowledge and power</t>
  </si>
  <si>
    <t>Peeters, Rik, and Marc Schuilenburg</t>
  </si>
  <si>
    <t>Textbook Chapter</t>
  </si>
  <si>
    <t>Algorithms and Recidivism: A Multi-disciplinary Systematic Review</t>
  </si>
  <si>
    <t>Scaria, Arul George and Subramanian, Vidya and George, Nevin K and Sengupta, Nandana</t>
  </si>
  <si>
    <t>Summarizes Other Work</t>
  </si>
  <si>
    <t>Assessing risk of recidivism among juvenile offenders: The development and validation of the recidivism risk instrument</t>
  </si>
  <si>
    <t xml:space="preserve">LR Williams, CW LeCroy, JP Vivian </t>
  </si>
  <si>
    <t>Beyond Predictive Algorithms in Child Welfare</t>
  </si>
  <si>
    <t>Moon, Erina Seh-Young and Saxena, Devansh and Maharaj, Tegan and Guha, Shion</t>
  </si>
  <si>
    <t>Can Fairness be Automated? Guidelines and Opportunities for Fairness-aware AutoML</t>
  </si>
  <si>
    <t>Weerts, Hilde and Pfisterer, Florian and Feurer, Matthias and Eggensperger, Katharina and Bergman, Edward and Awad, Noor and Vanschoren, Joaquin and Pechenizkiy, Mykola and Bischl, Bernd and Hutter, Frank</t>
  </si>
  <si>
    <t>Carceral Machines: Algorithmic Risk Assessment and the Reshaping of Crime and Punishment</t>
  </si>
  <si>
    <t>Dasha Pruss</t>
  </si>
  <si>
    <t>Civil rights and pretrial risk assessment instruments</t>
  </si>
  <si>
    <t>David G. Robinson and Logan Koepke</t>
  </si>
  <si>
    <t>No Peer Review</t>
  </si>
  <si>
    <t>Consistently Arbitrary or Arbitrarily Consistent: Navigating the Tensions Between Homogenization and Multiplicity in Algorithmic Decision-Making</t>
  </si>
  <si>
    <t>Gur-Arieh, Shira and Lee, Christina</t>
  </si>
  <si>
    <t>Counterfactual Explanations and Algorithmic Recourses for Machine Learning: A Review</t>
  </si>
  <si>
    <t>Verma, Sahil and Boonsanong, Varich and Hoang, Minh and Hines, Keegan and Dickerson, John and Shah, Chirag</t>
  </si>
  <si>
    <t>Courts and Predictive Algorithms</t>
  </si>
  <si>
    <t>Christin, Angèle, Alex Rosenblat, and Danah Boyd</t>
  </si>
  <si>
    <t>Evidence-based sentencing: The science of sentencing policy and practice</t>
  </si>
  <si>
    <t>RE Redding</t>
  </si>
  <si>
    <t>Pre-2015</t>
  </si>
  <si>
    <t>Explaining an increase in predicted risk for clinical alerts</t>
  </si>
  <si>
    <t>Hardt, Michaela and Rajkomar, Alvin and Flores, Gerardo and Dai, Andrew and Howell, Michael and Corrado, Greg and Cui, Claire and Hardt, Moritz</t>
  </si>
  <si>
    <t>Failing Our Youngest: On the Biases, Pitfalls, and Risks in a Decision Support Algorithm Used for Child Protection</t>
  </si>
  <si>
    <t>Moreau, Therese and Sinatra, Roberta and Sekara, Vedran</t>
  </si>
  <si>
    <t>Fairness Is More Than Algorithms: Racial Disparities in Time-to-Recidivism</t>
  </si>
  <si>
    <t>JX Han, K Greenewald, D Shah</t>
  </si>
  <si>
    <t>From Plane Crashes to Algorithmic Harm: Applicability of Safety Engineering Frameworks for Responsible ML</t>
  </si>
  <si>
    <t>Rismani, Shalaleh and Shelby, Renee and Smart, Andrew and Jatho, Edgar and Kroll, Joshua and Moon, AJung and Rostamzadeh, Negar</t>
  </si>
  <si>
    <t>Gender and risk assessment in juvenile offenders: A meta-analysis</t>
  </si>
  <si>
    <t>Pusch, Natasha, and Kristy Holtfreter.</t>
  </si>
  <si>
    <t>Juvenile, Summarizes Other Work</t>
  </si>
  <si>
    <t>Heterogeneity in Algorithm-Assisted Decision-Making: A Case Study in Child Abuse Hotline Screening</t>
  </si>
  <si>
    <t>Cheng, Lingwei and Chouldechova, Alexandra</t>
  </si>
  <si>
    <t xml:space="preserve">How do" technical" design-choices made when building algorithmic decision-making tools for criminal justice authorities create constitutional dangers? </t>
  </si>
  <si>
    <t>Yeung, Karen, and Adam Harkens</t>
  </si>
  <si>
    <t>Self Published</t>
  </si>
  <si>
    <t>How We Analyzed the COMPAS Recidivism Algorithm</t>
  </si>
  <si>
    <t>Jeff Larson, Surya Mattu, Lauren Kirchner and Julia Angwin</t>
  </si>
  <si>
    <t>Identity, AI and algorithmic governance: evidence from criminal justice risk assessments</t>
  </si>
  <si>
    <t>Innovating Criminal Justice: Predictive Analytics for Effective Recidivism Management</t>
  </si>
  <si>
    <t>DA Haidar</t>
  </si>
  <si>
    <t>It's not the algorithm, it's the data</t>
  </si>
  <si>
    <t>Kirkpatrick, Keith</t>
  </si>
  <si>
    <t>Non-academic Source</t>
  </si>
  <si>
    <t>Juvenile recidivism: A comparison of three prediction instruments</t>
  </si>
  <si>
    <t>J Ashford, C Lecroy</t>
  </si>
  <si>
    <t>Legal and practical implications of evidence-based sentencing by judges</t>
  </si>
  <si>
    <t>M Etienne</t>
  </si>
  <si>
    <t>Limitations of Mitigating Judicial Bias with Machine Learning,</t>
  </si>
  <si>
    <t>Lum, Kristian</t>
  </si>
  <si>
    <t>LITIGATING ALGORITHMS 2019 US REPORT</t>
  </si>
  <si>
    <t xml:space="preserve"> Richardson, Rashida, Jason M. Schultz, and Vincent M. Southerland</t>
  </si>
  <si>
    <t>Machine Learning Risk Assessments in Criminal Justice Settings</t>
  </si>
  <si>
    <t>Richard Berk</t>
  </si>
  <si>
    <t>Maximal Combinations of Fairness Definitions</t>
  </si>
  <si>
    <t>Defrance, MaryBeth and De Bie, Tijl</t>
  </si>
  <si>
    <t>Performative Ethics From Within the Ivory Tower: How CS Practitioners Uphold Systems of Oppression</t>
  </si>
  <si>
    <t>McFadden, Zari and Alvarez, Lauren</t>
  </si>
  <si>
    <t>Persuasive</t>
  </si>
  <si>
    <t>Predicting the recidivism of serious youthful offenders using survival models</t>
  </si>
  <si>
    <t>CA Visher, PK Lattimore, RL Linster</t>
  </si>
  <si>
    <t>Predictive Algorithms and Criminal Justice: a Synthetic Overview From an Italian and European Perspective</t>
  </si>
  <si>
    <t>L Notaro</t>
  </si>
  <si>
    <t>Predictive algorithms and criminal justice: expectations, challenges and a particular view of the Spanish VioGén system</t>
  </si>
  <si>
    <t>PM Ríos</t>
  </si>
  <si>
    <t>Predictive algorithms and criminal sentencing</t>
  </si>
  <si>
    <t>Angèle Christin</t>
  </si>
  <si>
    <t>Predictive validity and bias in actuarial risk assessment instruments for criminal justice sentencing</t>
  </si>
  <si>
    <t>Champion, Christine Jacqueline</t>
  </si>
  <si>
    <t>Pretrial Risk Assessment Instruments in the United States: A Critical Lens on Issues of Development, Performance, and Implementation</t>
  </si>
  <si>
    <t>Jennifer E. Copp, William Casey</t>
  </si>
  <si>
    <t>Pretrial risk assessment tool adoption and pretrial operations</t>
  </si>
  <si>
    <t>SG Lawson, SJ Rising, E Grommon</t>
  </si>
  <si>
    <t>Regulating explainable AI in the European Union. An overview of the current legal framework (s)</t>
  </si>
  <si>
    <t>Ebers, Martin</t>
  </si>
  <si>
    <t>Rethinking "Risk" in Algorithmic Systems Through A Computational Narrative Analysis of Casenotes in Child-Welfare</t>
  </si>
  <si>
    <t>Saxena, Devansh and Moon, Erina Seh-Young and Chaurasia, Aryan and Guan, Yixin and Guha, Shion</t>
  </si>
  <si>
    <t>Risk assessment in evidence-based sentencing: Context and promising sues</t>
  </si>
  <si>
    <t>Heilbrun, Kirk</t>
  </si>
  <si>
    <t>Risk assessment in evidence-based sentencing: Context and promising uses</t>
  </si>
  <si>
    <t xml:space="preserve">K Heilbrun </t>
  </si>
  <si>
    <t>Risk in sentencing: constitutionally suspect variables and evidence-based sentencing</t>
  </si>
  <si>
    <t>Oleson, James C</t>
  </si>
  <si>
    <t>Risky business: Artificial intelligence and risk assessments in sentencing and bail procedures in the united states</t>
  </si>
  <si>
    <t>Lyn, Alexandra</t>
  </si>
  <si>
    <t>Role of Analytics in Offender Management Systems</t>
  </si>
  <si>
    <t>KC Gonugunta</t>
  </si>
  <si>
    <t>Seeing Like a Community: Public Perceptions of Data Use in Government</t>
  </si>
  <si>
    <t>Jeong, Eunmi (Ellie) and Jackson, Corey and Pandey, Srijan and Chen, Kaiping</t>
  </si>
  <si>
    <t>Studying up: reorienting the study of algorithmic fairness around issues of power</t>
  </si>
  <si>
    <t>Barabas, Chelsea and Doyle, Colin and Rubinovitz, JB and Dinakar, Karthik</t>
  </si>
  <si>
    <t>Technological due process</t>
  </si>
  <si>
    <t>Citron, Danielle Keats</t>
  </si>
  <si>
    <t>The accuracy, equity, and jurisprudence of criminal risk assessment</t>
  </si>
  <si>
    <t>S Goel, R Shroff, J Skeem</t>
  </si>
  <si>
    <t>Goel, Sharad, Ravi Shroff, Jennifer Skeem, and Christopher Slobogin</t>
  </si>
  <si>
    <t>The devil in the detail: algorithmic risk prediction tools and their implications for ethics, justice and decision-making</t>
  </si>
  <si>
    <t>Brian J. Taylor, John D. Fluke, J. Christopher Graham, Emily Keddell, Campbell Killick, Aron Shlonsky, Andrew Whittaker</t>
  </si>
  <si>
    <t>The Distributive Effects of Risk Prediction in Environmental Compliance: Algorithmic Design, Environmental Justice, and Public Policy</t>
  </si>
  <si>
    <t>Benami, Elinor and Whitaker, Reid and La, Vincent and Lin, Hongjin and Anderson, Brandon R. and Ho, Daniel E.</t>
  </si>
  <si>
    <t>The scored society: Due process for automated predictions</t>
  </si>
  <si>
    <t>Citron, Danielle Keats, and Frank Pasquale</t>
  </si>
  <si>
    <t>The Societal Impacts of Algorithmic Decision-Making</t>
  </si>
  <si>
    <t>Raghavan, Manish</t>
  </si>
  <si>
    <t>The Use of AI in Criminal Justice: Unpacking the EU's Human-Centric AI Strategy</t>
  </si>
  <si>
    <t>M Karayigit, D Çelikkaya</t>
  </si>
  <si>
    <t>The use of predictive analytics in policing</t>
  </si>
  <si>
    <t>B Carleton, B Cunningham, Z Thorkildsen</t>
  </si>
  <si>
    <t>Toward Operationalizing Pipeline-aware ML Fairness: A Research Agenda for Developing Practical Guidelines and Tools</t>
  </si>
  <si>
    <t>Black, Emily and Naidu, Rakshit and Ghani, Rayid and Rodolfa, Kit and Ho, Daniel and Heidari, Hoda</t>
  </si>
  <si>
    <t>Transparency, Governance and Regulation of Algorithmic Tools Deployed in the Criminal Justice System: a UK Case Study</t>
  </si>
  <si>
    <t>Zilka, Miri and Sargeant, Holli and Weller, Adrian</t>
  </si>
  <si>
    <t>A Case for Humans-in-the-Loop: Decisions in the Presence of Erroneous Algorithmic Scores</t>
  </si>
  <si>
    <t>De-Arteaga, Fogliato, Chouldechova</t>
  </si>
  <si>
    <t>Juveniles</t>
  </si>
  <si>
    <t>A Comparative User Study of Human Predictions in Algorithm-Supported Recidivism Risk Assessment</t>
  </si>
  <si>
    <t>M Portela, C Castillo, S Tolan, M Karimi-Haghighi, AA Pueyo</t>
  </si>
  <si>
    <t>Abolish! Against the Use of Risk Assessment Algorithms at Sentencing in the US Criminal Justice System</t>
  </si>
  <si>
    <t>Katia Schwerzmann</t>
  </si>
  <si>
    <t>Algorithmic decision making and issues of criminal justice–A general approach</t>
  </si>
  <si>
    <t>Krisztina KARSAI</t>
  </si>
  <si>
    <t>Not RA</t>
  </si>
  <si>
    <t>Algorithmic Fairness From the Perspective of Legal Anti-Discrimination Principles</t>
  </si>
  <si>
    <t>Keswani, Vijay and Celis, L. Elisa</t>
  </si>
  <si>
    <t>Not AI</t>
  </si>
  <si>
    <t>Algorithmic long-term unemployment risk assessment in use: Counselors' perceptions and use practices</t>
  </si>
  <si>
    <t>Leid Zejnilović</t>
  </si>
  <si>
    <t>No peer review</t>
  </si>
  <si>
    <t>Algorithmic risk assessments can alter human decision-making processes in high-stakes government contexts</t>
  </si>
  <si>
    <t>B Green, Y Chen</t>
  </si>
  <si>
    <t>Google Scholar, ACM Digital Library</t>
  </si>
  <si>
    <t>Bias in Criminal Risk Scores is Mathematically Inevitable, Researchers Say</t>
  </si>
  <si>
    <t>Julie Angwin and Jeff Larson</t>
  </si>
  <si>
    <t>Multiple</t>
  </si>
  <si>
    <t>Challenge accepted? A critique of the 2021 National Institute of Justice recidivism forecasting challenge</t>
  </si>
  <si>
    <t>T Jegede, MK Gerchick, AS Mathai</t>
  </si>
  <si>
    <t>Total</t>
  </si>
  <si>
    <t>Damned lies &amp; criminal sentencing using evidence-based tools</t>
  </si>
  <si>
    <t>J Lightbourne</t>
  </si>
  <si>
    <t>Disambiguating Algorithmic Bias: From Neutrality to Justice</t>
  </si>
  <si>
    <t>Edenberg, Elizabeth and Wood, Alexandra</t>
  </si>
  <si>
    <t>Disparities in the pretrial process: Race, ethnicity, and citizenship</t>
  </si>
  <si>
    <t>Casey, William M., Jennifer E. Copp, and Stephen Demuth</t>
  </si>
  <si>
    <t>Not AI focused</t>
  </si>
  <si>
    <t>Enhancing a recidivism prediction tool with machine learning: effectiveness and algorithmic fairness</t>
  </si>
  <si>
    <t>Karimi-Haghighi, Marzieh, and Carlos Castillo</t>
  </si>
  <si>
    <t>Ethics and trustworthiness of AI for predicting the risk of recidivism: A systematic literature review</t>
  </si>
  <si>
    <t>MM Farayola, I Tal, R Connolly, T Saber</t>
  </si>
  <si>
    <t>Evidence-based sentencing and the scientific rationalization of discrimination</t>
  </si>
  <si>
    <t>Starr, Sonja B</t>
  </si>
  <si>
    <t>Evidence-Based Sentencing: Risks and Opportunities</t>
  </si>
  <si>
    <t>Westermann, Hannes</t>
  </si>
  <si>
    <t>Exploring algorithmic governance: The AI Act and new realities for criminal justice, and fundamental rights</t>
  </si>
  <si>
    <t>Anastasopoulou, Melina</t>
  </si>
  <si>
    <t>EXPLORING RECIDIVISM THROUGH BAYESIAN SURVIVAL MODELS: A PARAMETRIC APPROACH WITH RSTAN</t>
  </si>
  <si>
    <t>F Ashraf, M Parvej, AA Khan</t>
  </si>
  <si>
    <t>Fairness of AI in predicting the risk of recidivism: Review and phase mapping of AI fairness techniques</t>
  </si>
  <si>
    <t>Farayola, Michael Mayowa, Irina Tal, Bendechache Malika, Takfarinas Saber, and Regina Connolly</t>
  </si>
  <si>
    <t>Forks over knives: Predictive inconsistency in criminal justice algorithmic risk assessment tools</t>
  </si>
  <si>
    <t>Travis Greene, Galit Shmueli, Jan Fell, Ching-Fu Lin, Han-Wei Liu</t>
  </si>
  <si>
    <t>Persuasive, Non-US</t>
  </si>
  <si>
    <t>From Margins to the Table: Charting the Potential for Public Participatory Governance of Algorithmic Decision Making</t>
  </si>
  <si>
    <t>Eslami, Motahhare and Fox, Sarah and Shen, Hong and Fan, Bobbie and Lin, Yu-Ru and Farzan, Rosta and Schwanke, Beth</t>
  </si>
  <si>
    <t>Guiding Prosecutorial Decisions with an Interpretable Statistical Model</t>
  </si>
  <si>
    <t>Lin, Zhiyuan and Chohlas-Wood, Alex and Goel, Sharad</t>
  </si>
  <si>
    <t>Not courtwoom risk-assessment focused, RA tools are mentioned as related work but not pursued further</t>
  </si>
  <si>
    <t>Injustice ex machina: Predictive algorithms in criminal sentencing</t>
  </si>
  <si>
    <t>AL Park</t>
  </si>
  <si>
    <t>Interventions over predictions: Reframing the ethical debate for actuarial risk assessment</t>
  </si>
  <si>
    <t>Barabas, Chelsea, Madars Virza, Karthik Dinakar, Joichi Ito, and Jonathan Zittrain</t>
  </si>
  <si>
    <t>Is Your Model Predicting the Past?</t>
  </si>
  <si>
    <t>Hardt, Moritz and Kim, Michael P.</t>
  </si>
  <si>
    <t>Legal Framework For The Use Of Artificial Intelligence (AI) Technology In The Canadian Criminal Justice System</t>
  </si>
  <si>
    <t>G Christian</t>
  </si>
  <si>
    <t>Machine justice: Governing security through the bureaucracy of algorithms</t>
  </si>
  <si>
    <t>Machine learning predictive algorithms and the policing of future crimes: governance and oversight</t>
  </si>
  <si>
    <t>Alexander Babuta and Marion Oswald</t>
  </si>
  <si>
    <t>Predicting risk in criminal procedure: actuarial tools, algorithms, AI and judicial decision-making</t>
  </si>
  <si>
    <t>McKay, Carolyn</t>
  </si>
  <si>
    <t>Predictive Algorithms in Justice Systems and the Limits of Tech-Reformism</t>
  </si>
  <si>
    <t>Pamela Ugwudike</t>
  </si>
  <si>
    <t>Predictive Analytics for Policy and Practice reflections from the criminal justice system.</t>
  </si>
  <si>
    <t>T Hughes</t>
  </si>
  <si>
    <t>Predictive analytics in healthcare and criminal justice: three case studies</t>
  </si>
  <si>
    <t>B Butler</t>
  </si>
  <si>
    <t>Predictive Validity of Pretrial Risk Assessments</t>
  </si>
  <si>
    <t>SL Desmarais, SA Zottola</t>
  </si>
  <si>
    <t>Privacy tradeoffs in predictive analytics</t>
  </si>
  <si>
    <t>Ioannidis, Stratis and Montanari, Andrea and Weinsberg, Udi and Bhagat, Smriti and Fawaz, Nadia and Taft, Nina</t>
  </si>
  <si>
    <t>Risk assessment tools on trial: Lessons learned for “Ethical AI” in the criminal justice system</t>
  </si>
  <si>
    <t>N Chugh</t>
  </si>
  <si>
    <t>Chugh, Neha</t>
  </si>
  <si>
    <t>Sentenced by an algorithm—Bias and lack of accuracy in risk-assessment software in the United States criminal justice system</t>
  </si>
  <si>
    <t>Gravett, Willem</t>
  </si>
  <si>
    <t>The Bureaucratic Challenges of Unified Data: Examining Predictive Policing Technology Design Issues Posed by Federal and State U.S. Criminal Legal System Data Sets</t>
  </si>
  <si>
    <t>Roskin-Frazee, Amelia and Head, Christine Denise</t>
  </si>
  <si>
    <t>The Case Against Pretrial Risk Assessment Instruments</t>
  </si>
  <si>
    <t>C Fanno Burdeen, WW Shang</t>
  </si>
  <si>
    <t>The dangers of risk prediction in the criminal justice system</t>
  </si>
  <si>
    <t>J Dressel, H Farid</t>
  </si>
  <si>
    <t>The Death of the Legal Subject: How Predictive Algorithms Are (Re) constructing Legal Subjectivity</t>
  </si>
  <si>
    <t xml:space="preserve">K Geddes </t>
  </si>
  <si>
    <t>The empirical case for pretrial risk assessment instruments</t>
  </si>
  <si>
    <t>SL Desmarais, J Monahan</t>
  </si>
  <si>
    <t>The false promise of risk assessments: epistemic reform and the limits of fairness</t>
  </si>
  <si>
    <t>The Jurisprudence of Big Data: Legal Limits of Predictive Analytics in Criminal Justice Risk Assessment Models</t>
  </si>
  <si>
    <t>Lewandowska, Katarzyna, Lukas Reinhardt, and Daniel Whitmore</t>
  </si>
  <si>
    <t>The prediction of criminal recidivism: The implication of sampling in prognostic models</t>
  </si>
  <si>
    <t>Urbaniok, Frank, Jérôme Endrass, Astrid Rossegger, Thomas Noll, William T. Gallo, and Jules Angst</t>
  </si>
  <si>
    <t>The Risks of Digital Governance: Automatisation of crime politics</t>
  </si>
  <si>
    <t>Veronika Nagy</t>
  </si>
  <si>
    <t>Pesuasive</t>
  </si>
  <si>
    <t>The use of risk assessment at sentencing: Implications for research and policy</t>
  </si>
  <si>
    <t>Hyatt, Jordan, and Steven L. Chanenson</t>
  </si>
  <si>
    <t>No Peer Review, White Paper</t>
  </si>
  <si>
    <t>Nicole E. Frisch-Scott, Kiminori Nakamura</t>
  </si>
  <si>
    <t>Why predictive algorithms are so risky for public sector bodies</t>
  </si>
  <si>
    <t>M Waller, P Waller</t>
  </si>
  <si>
    <t>Total included sources:</t>
  </si>
  <si>
    <t>Total excluded before retrieval:</t>
  </si>
  <si>
    <t>Total excluded after retrieval:</t>
  </si>
  <si>
    <t>Total sources:</t>
  </si>
  <si>
    <t>Unique journals:</t>
  </si>
  <si>
    <t>Year of publication</t>
  </si>
  <si>
    <t>Check sum:</t>
  </si>
  <si>
    <t>AI does contribute to bias:</t>
  </si>
  <si>
    <t>Percentage:</t>
  </si>
  <si>
    <t>AI does not:</t>
  </si>
  <si>
    <t>ML in use:</t>
  </si>
  <si>
    <t>ML not used:</t>
  </si>
  <si>
    <t>COMPAS used as example:</t>
  </si>
  <si>
    <t>COMPAS not used:</t>
  </si>
  <si>
    <t>Tools Mentioned:</t>
  </si>
  <si>
    <t>SSL</t>
  </si>
  <si>
    <t>facial recognition</t>
  </si>
  <si>
    <t>Virginia Pretrial Risk Assessment</t>
  </si>
  <si>
    <t>random forest</t>
  </si>
  <si>
    <t>SVMs</t>
  </si>
  <si>
    <t>PredPol</t>
  </si>
  <si>
    <t>license plate readers</t>
  </si>
  <si>
    <t>LSI-R</t>
  </si>
  <si>
    <t>Salient Factor Score</t>
  </si>
  <si>
    <t>HunchLab</t>
  </si>
  <si>
    <t>Gotham</t>
  </si>
  <si>
    <t>PSA</t>
  </si>
  <si>
    <t>PATTERN</t>
  </si>
  <si>
    <t>logistic regression</t>
  </si>
  <si>
    <t>Colorado Pretrial Risk Assessment Tool</t>
  </si>
  <si>
    <t xml:space="preserve">Ohio Pretrial Assessment Tool </t>
  </si>
  <si>
    <t>The Kleinberg Tool</t>
  </si>
  <si>
    <t>Vera Point Scale</t>
  </si>
  <si>
    <t>Post Conviction Risk Assessment</t>
  </si>
  <si>
    <t>Montana Offender and Reenty Risk Assessment Tool</t>
  </si>
  <si>
    <t>gradient boosting</t>
  </si>
  <si>
    <t>NLP</t>
  </si>
  <si>
    <t>NER</t>
  </si>
  <si>
    <t>Top 6 RAs:</t>
  </si>
  <si>
    <t>Count</t>
  </si>
  <si>
    <t>Percent</t>
  </si>
  <si>
    <t>Policing Tools:</t>
  </si>
  <si>
    <t>AI research tools:</t>
  </si>
  <si>
    <t>Efficiency</t>
  </si>
  <si>
    <t>Reduced Bias</t>
  </si>
  <si>
    <t>Better Predictions</t>
  </si>
  <si>
    <t>Transparency</t>
  </si>
  <si>
    <t>Objectivity</t>
  </si>
  <si>
    <t>Individuation</t>
  </si>
  <si>
    <t>Reducing Crime</t>
  </si>
  <si>
    <t>Reducing Incarceration</t>
  </si>
  <si>
    <t>Social/Justice Reform</t>
  </si>
  <si>
    <t>Eleminate Bail</t>
  </si>
  <si>
    <t>Rounded Percent</t>
  </si>
  <si>
    <t>Yes bias and used COMPAS</t>
  </si>
  <si>
    <t>% of yeses</t>
  </si>
  <si>
    <t>Yes bias without COMPAS</t>
  </si>
  <si>
    <t>No bias and used COMPAS</t>
  </si>
  <si>
    <t>% of nos</t>
  </si>
  <si>
    <t>No bias without COMPAS</t>
  </si>
  <si>
    <t>Checksum:</t>
  </si>
  <si>
    <t>% of all</t>
  </si>
  <si>
    <t>Sources of Bias</t>
  </si>
  <si>
    <t>Training Data</t>
  </si>
  <si>
    <t>Actions by Developers</t>
  </si>
  <si>
    <t>Institutional Bias</t>
  </si>
  <si>
    <t>Proxy Variables</t>
  </si>
  <si>
    <t>Rationalizing Bias</t>
  </si>
  <si>
    <t>Data Size</t>
  </si>
  <si>
    <t>Removing Human Judgement</t>
  </si>
  <si>
    <t>Definitions of Fairness</t>
  </si>
  <si>
    <t>Human Interpretation</t>
  </si>
  <si>
    <t>Black Boxing</t>
  </si>
  <si>
    <t>Tool Calibration</t>
  </si>
  <si>
    <t>Aglorithmic Bias</t>
  </si>
  <si>
    <t>Percent of All</t>
  </si>
  <si>
    <t>Percent of "Yes" to bias</t>
  </si>
  <si>
    <t>Duplicates Removed</t>
  </si>
  <si>
    <t>From Included</t>
  </si>
  <si>
    <t>From Ex. Before</t>
  </si>
  <si>
    <t>From Ex. After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</si>
</sst>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sz val="12.0"/>
      <color theme="1"/>
      <name val="Arial"/>
      <scheme val="minor"/>
    </font>
    <font>
      <b/>
      <color theme="1"/>
      <name val="Arial"/>
      <scheme val="minor"/>
    </font>
    <font>
      <color theme="1"/>
      <name val="Arial"/>
      <scheme val="minor"/>
    </font>
  </fonts>
  <fills count="5">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Font="1"/>
    <xf borderId="0" fillId="2" fontId="3" numFmtId="0" xfId="0" applyFill="1" applyFont="1"/>
    <xf borderId="0" fillId="2" fontId="4" numFmtId="0" xfId="0" applyFont="1"/>
    <xf borderId="0" fillId="3" fontId="3" numFmtId="0" xfId="0" applyAlignment="1" applyFill="1" applyFont="1">
      <alignment readingOrder="0"/>
    </xf>
    <xf borderId="0" fillId="3" fontId="4" numFmtId="0" xfId="0" applyAlignment="1" applyFont="1">
      <alignment readingOrder="0"/>
    </xf>
    <xf borderId="0" fillId="3" fontId="4" numFmtId="0" xfId="0" applyFont="1"/>
    <xf borderId="0" fillId="3" fontId="3" numFmtId="0" xfId="0" applyFont="1"/>
    <xf borderId="0" fillId="4" fontId="3" numFmtId="0" xfId="0" applyAlignment="1" applyFill="1" applyFont="1">
      <alignment readingOrder="0"/>
    </xf>
    <xf borderId="0" fillId="4" fontId="4" numFmtId="0" xfId="0" applyFont="1"/>
    <xf borderId="0" fillId="4" fontId="4" numFmtId="0" xfId="0" applyAlignment="1" applyFont="1">
      <alignment readingOrder="0"/>
    </xf>
    <xf borderId="0" fillId="3" fontId="3" numFmtId="0" xfId="0" applyAlignment="1" applyFont="1">
      <alignment readingOrder="0" shrinkToFit="0" wrapText="1"/>
    </xf>
    <xf borderId="0" fillId="3" fontId="4" numFmtId="0" xfId="0" applyAlignment="1" applyFont="1">
      <alignment readingOrder="0" shrinkToFit="0" wrapText="1"/>
    </xf>
    <xf borderId="0" fillId="3" fontId="4"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63"/>
    <col customWidth="1" min="2" max="12" width="38.75"/>
    <col customWidth="1" min="13" max="13" width="56.63"/>
    <col customWidth="1" min="14" max="30" width="38.75"/>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c r="AA1" s="2"/>
      <c r="AB1" s="2"/>
      <c r="AC1" s="2"/>
      <c r="AD1" s="2"/>
    </row>
    <row r="2">
      <c r="A2" s="3" t="s">
        <v>13</v>
      </c>
      <c r="B2" s="3" t="s">
        <v>14</v>
      </c>
      <c r="C2" s="3" t="s">
        <v>15</v>
      </c>
      <c r="D2" s="3">
        <v>2023.0</v>
      </c>
      <c r="E2" s="3" t="s">
        <v>16</v>
      </c>
      <c r="F2" s="3" t="s">
        <v>17</v>
      </c>
      <c r="G2" s="3" t="s">
        <v>18</v>
      </c>
      <c r="H2" s="3" t="s">
        <v>19</v>
      </c>
      <c r="I2" s="3" t="s">
        <v>20</v>
      </c>
      <c r="J2" s="3" t="s">
        <v>21</v>
      </c>
      <c r="K2" s="3" t="s">
        <v>22</v>
      </c>
      <c r="L2" s="3" t="s">
        <v>23</v>
      </c>
      <c r="M2" s="3" t="s">
        <v>24</v>
      </c>
      <c r="N2" s="4"/>
      <c r="O2" s="4"/>
      <c r="P2" s="4"/>
      <c r="Q2" s="4"/>
      <c r="R2" s="4"/>
      <c r="S2" s="4"/>
      <c r="T2" s="4"/>
      <c r="U2" s="4"/>
      <c r="V2" s="4"/>
      <c r="W2" s="4"/>
      <c r="X2" s="4"/>
      <c r="Y2" s="4"/>
      <c r="Z2" s="4"/>
      <c r="AA2" s="4"/>
      <c r="AB2" s="4"/>
      <c r="AC2" s="4"/>
      <c r="AD2" s="4"/>
    </row>
    <row r="3">
      <c r="A3" s="3" t="s">
        <v>25</v>
      </c>
      <c r="B3" s="3" t="s">
        <v>26</v>
      </c>
      <c r="C3" s="3" t="s">
        <v>27</v>
      </c>
      <c r="D3" s="3">
        <v>2023.0</v>
      </c>
      <c r="E3" s="3" t="s">
        <v>28</v>
      </c>
      <c r="F3" s="3" t="s">
        <v>29</v>
      </c>
      <c r="G3" s="3" t="s">
        <v>30</v>
      </c>
      <c r="H3" s="3" t="s">
        <v>31</v>
      </c>
      <c r="I3" s="3" t="s">
        <v>32</v>
      </c>
      <c r="J3" s="3" t="s">
        <v>33</v>
      </c>
      <c r="K3" s="3" t="s">
        <v>34</v>
      </c>
      <c r="L3" s="3" t="s">
        <v>35</v>
      </c>
      <c r="M3" s="3" t="s">
        <v>36</v>
      </c>
      <c r="N3" s="4"/>
      <c r="O3" s="4"/>
      <c r="P3" s="4"/>
      <c r="Q3" s="4"/>
      <c r="R3" s="4"/>
      <c r="S3" s="4"/>
      <c r="T3" s="4"/>
      <c r="U3" s="4"/>
      <c r="V3" s="4"/>
      <c r="W3" s="4"/>
      <c r="X3" s="4"/>
      <c r="Y3" s="4"/>
      <c r="Z3" s="4"/>
      <c r="AA3" s="4"/>
      <c r="AB3" s="4"/>
      <c r="AC3" s="4"/>
      <c r="AD3" s="4"/>
    </row>
    <row r="4">
      <c r="A4" s="3" t="s">
        <v>37</v>
      </c>
      <c r="B4" s="3" t="s">
        <v>38</v>
      </c>
      <c r="C4" s="3" t="s">
        <v>39</v>
      </c>
      <c r="D4" s="3">
        <v>2022.0</v>
      </c>
      <c r="E4" s="3" t="s">
        <v>40</v>
      </c>
      <c r="F4" s="3" t="s">
        <v>41</v>
      </c>
      <c r="G4" s="3" t="s">
        <v>42</v>
      </c>
      <c r="H4" s="3" t="s">
        <v>20</v>
      </c>
      <c r="I4" s="3" t="s">
        <v>43</v>
      </c>
      <c r="J4" s="3" t="s">
        <v>44</v>
      </c>
      <c r="K4" s="3" t="s">
        <v>45</v>
      </c>
      <c r="L4" s="3" t="s">
        <v>46</v>
      </c>
      <c r="M4" s="3" t="s">
        <v>47</v>
      </c>
      <c r="N4" s="4"/>
      <c r="O4" s="4"/>
      <c r="P4" s="4"/>
      <c r="Q4" s="4"/>
      <c r="R4" s="4"/>
      <c r="S4" s="4"/>
      <c r="T4" s="4"/>
      <c r="U4" s="4"/>
      <c r="V4" s="4"/>
      <c r="W4" s="4"/>
      <c r="X4" s="4"/>
      <c r="Y4" s="4"/>
      <c r="Z4" s="4"/>
      <c r="AA4" s="4"/>
      <c r="AB4" s="4"/>
      <c r="AC4" s="4"/>
      <c r="AD4" s="4"/>
    </row>
    <row r="5">
      <c r="A5" s="3" t="s">
        <v>48</v>
      </c>
      <c r="B5" s="3" t="s">
        <v>49</v>
      </c>
      <c r="C5" s="3" t="s">
        <v>50</v>
      </c>
      <c r="D5" s="3">
        <v>2024.0</v>
      </c>
      <c r="E5" s="3" t="s">
        <v>51</v>
      </c>
      <c r="F5" s="3" t="s">
        <v>52</v>
      </c>
      <c r="G5" s="3" t="s">
        <v>53</v>
      </c>
      <c r="H5" s="3" t="s">
        <v>54</v>
      </c>
      <c r="I5" s="3" t="s">
        <v>55</v>
      </c>
      <c r="J5" s="3" t="s">
        <v>56</v>
      </c>
      <c r="K5" s="3" t="s">
        <v>57</v>
      </c>
      <c r="L5" s="3" t="s">
        <v>58</v>
      </c>
      <c r="M5" s="3" t="s">
        <v>59</v>
      </c>
      <c r="N5" s="4"/>
      <c r="O5" s="4"/>
      <c r="P5" s="4"/>
      <c r="Q5" s="4"/>
      <c r="R5" s="4"/>
      <c r="S5" s="4"/>
      <c r="T5" s="4"/>
      <c r="U5" s="4"/>
      <c r="V5" s="4"/>
      <c r="W5" s="4"/>
      <c r="X5" s="4"/>
      <c r="Y5" s="4"/>
      <c r="Z5" s="4"/>
      <c r="AA5" s="4"/>
      <c r="AB5" s="4"/>
      <c r="AC5" s="4"/>
      <c r="AD5" s="4"/>
    </row>
    <row r="6">
      <c r="A6" s="3" t="s">
        <v>60</v>
      </c>
      <c r="B6" s="3" t="s">
        <v>61</v>
      </c>
      <c r="C6" s="3" t="s">
        <v>62</v>
      </c>
      <c r="D6" s="3">
        <v>2019.0</v>
      </c>
      <c r="E6" s="3" t="s">
        <v>63</v>
      </c>
      <c r="F6" s="3" t="s">
        <v>64</v>
      </c>
      <c r="G6" s="3" t="s">
        <v>65</v>
      </c>
      <c r="H6" s="3" t="s">
        <v>66</v>
      </c>
      <c r="I6" s="3" t="s">
        <v>67</v>
      </c>
      <c r="J6" s="3" t="s">
        <v>68</v>
      </c>
      <c r="K6" s="3" t="s">
        <v>69</v>
      </c>
      <c r="L6" s="3" t="s">
        <v>70</v>
      </c>
      <c r="M6" s="3" t="s">
        <v>71</v>
      </c>
      <c r="N6" s="4"/>
      <c r="O6" s="4"/>
      <c r="P6" s="4"/>
      <c r="Q6" s="4"/>
      <c r="R6" s="4"/>
      <c r="S6" s="4"/>
      <c r="T6" s="4"/>
      <c r="U6" s="4"/>
      <c r="V6" s="4"/>
      <c r="W6" s="4"/>
      <c r="X6" s="4"/>
      <c r="Y6" s="4"/>
      <c r="Z6" s="4"/>
      <c r="AA6" s="4"/>
      <c r="AB6" s="4"/>
      <c r="AC6" s="4"/>
      <c r="AD6" s="4"/>
    </row>
    <row r="7">
      <c r="A7" s="3" t="s">
        <v>72</v>
      </c>
      <c r="B7" s="3" t="s">
        <v>73</v>
      </c>
      <c r="C7" s="3" t="s">
        <v>74</v>
      </c>
      <c r="D7" s="3">
        <v>2022.0</v>
      </c>
      <c r="E7" s="3" t="s">
        <v>75</v>
      </c>
      <c r="F7" s="3" t="s">
        <v>76</v>
      </c>
      <c r="G7" s="3" t="s">
        <v>77</v>
      </c>
      <c r="H7" s="3" t="s">
        <v>78</v>
      </c>
      <c r="I7" s="3" t="s">
        <v>79</v>
      </c>
      <c r="J7" s="3" t="s">
        <v>80</v>
      </c>
      <c r="K7" s="3" t="s">
        <v>81</v>
      </c>
      <c r="L7" s="3" t="s">
        <v>82</v>
      </c>
      <c r="M7" s="3" t="s">
        <v>83</v>
      </c>
      <c r="N7" s="4"/>
      <c r="O7" s="4"/>
      <c r="P7" s="4"/>
      <c r="Q7" s="4"/>
      <c r="R7" s="4"/>
      <c r="S7" s="4"/>
      <c r="T7" s="4"/>
      <c r="U7" s="4"/>
      <c r="V7" s="4"/>
      <c r="W7" s="4"/>
      <c r="X7" s="4"/>
      <c r="Y7" s="4"/>
      <c r="Z7" s="4"/>
      <c r="AA7" s="4"/>
      <c r="AB7" s="4"/>
      <c r="AC7" s="4"/>
      <c r="AD7" s="4"/>
    </row>
    <row r="8">
      <c r="A8" s="3" t="s">
        <v>84</v>
      </c>
      <c r="B8" s="3" t="s">
        <v>85</v>
      </c>
      <c r="C8" s="3" t="s">
        <v>86</v>
      </c>
      <c r="D8" s="3">
        <v>2017.0</v>
      </c>
      <c r="E8" s="3" t="s">
        <v>87</v>
      </c>
      <c r="F8" s="3" t="s">
        <v>88</v>
      </c>
      <c r="G8" s="3" t="s">
        <v>89</v>
      </c>
      <c r="H8" s="3" t="s">
        <v>90</v>
      </c>
      <c r="I8" s="3" t="s">
        <v>91</v>
      </c>
      <c r="J8" s="3" t="s">
        <v>92</v>
      </c>
      <c r="K8" s="3" t="s">
        <v>93</v>
      </c>
      <c r="L8" s="3" t="s">
        <v>94</v>
      </c>
      <c r="M8" s="3" t="s">
        <v>95</v>
      </c>
      <c r="N8" s="4"/>
      <c r="O8" s="4"/>
      <c r="P8" s="4"/>
      <c r="Q8" s="4"/>
      <c r="R8" s="4"/>
      <c r="S8" s="4"/>
      <c r="T8" s="4"/>
      <c r="U8" s="4"/>
      <c r="V8" s="4"/>
      <c r="W8" s="4"/>
      <c r="X8" s="4"/>
      <c r="Y8" s="4"/>
      <c r="Z8" s="4"/>
      <c r="AA8" s="4"/>
      <c r="AB8" s="4"/>
      <c r="AC8" s="4"/>
      <c r="AD8" s="4"/>
    </row>
    <row r="9">
      <c r="A9" s="3" t="s">
        <v>96</v>
      </c>
      <c r="B9" s="3" t="s">
        <v>97</v>
      </c>
      <c r="C9" s="3" t="s">
        <v>98</v>
      </c>
      <c r="D9" s="3">
        <v>2020.0</v>
      </c>
      <c r="E9" s="3" t="s">
        <v>99</v>
      </c>
      <c r="F9" s="3" t="s">
        <v>100</v>
      </c>
      <c r="G9" s="3" t="s">
        <v>101</v>
      </c>
      <c r="H9" s="3" t="s">
        <v>102</v>
      </c>
      <c r="I9" s="3" t="s">
        <v>103</v>
      </c>
      <c r="J9" s="3" t="s">
        <v>104</v>
      </c>
      <c r="K9" s="3" t="s">
        <v>105</v>
      </c>
      <c r="L9" s="3" t="s">
        <v>106</v>
      </c>
      <c r="M9" s="3" t="s">
        <v>107</v>
      </c>
      <c r="N9" s="4"/>
      <c r="O9" s="4"/>
      <c r="P9" s="4"/>
      <c r="Q9" s="4"/>
      <c r="R9" s="4"/>
      <c r="S9" s="4"/>
      <c r="T9" s="4"/>
      <c r="U9" s="4"/>
      <c r="V9" s="4"/>
      <c r="W9" s="4"/>
      <c r="X9" s="4"/>
      <c r="Y9" s="4"/>
      <c r="Z9" s="4"/>
      <c r="AA9" s="4"/>
      <c r="AB9" s="4"/>
      <c r="AC9" s="4"/>
      <c r="AD9" s="4"/>
    </row>
    <row r="10">
      <c r="A10" s="3" t="s">
        <v>108</v>
      </c>
      <c r="B10" s="3" t="s">
        <v>109</v>
      </c>
      <c r="C10" s="3" t="s">
        <v>110</v>
      </c>
      <c r="D10" s="3">
        <v>2018.0</v>
      </c>
      <c r="E10" s="3" t="s">
        <v>111</v>
      </c>
      <c r="F10" s="3" t="s">
        <v>112</v>
      </c>
      <c r="G10" s="3" t="s">
        <v>113</v>
      </c>
      <c r="H10" s="3" t="s">
        <v>114</v>
      </c>
      <c r="I10" s="3" t="s">
        <v>55</v>
      </c>
      <c r="J10" s="3" t="s">
        <v>115</v>
      </c>
      <c r="K10" s="3" t="s">
        <v>116</v>
      </c>
      <c r="L10" s="3" t="s">
        <v>117</v>
      </c>
      <c r="M10" s="3" t="s">
        <v>118</v>
      </c>
      <c r="N10" s="4"/>
      <c r="O10" s="4"/>
      <c r="P10" s="4"/>
      <c r="Q10" s="4"/>
      <c r="R10" s="4"/>
      <c r="S10" s="4"/>
      <c r="T10" s="4"/>
      <c r="U10" s="4"/>
      <c r="V10" s="4"/>
      <c r="W10" s="4"/>
      <c r="X10" s="4"/>
      <c r="Y10" s="4"/>
      <c r="Z10" s="4"/>
      <c r="AA10" s="4"/>
      <c r="AB10" s="4"/>
      <c r="AC10" s="4"/>
      <c r="AD10" s="4"/>
    </row>
    <row r="11">
      <c r="A11" s="3" t="s">
        <v>119</v>
      </c>
      <c r="B11" s="3" t="s">
        <v>120</v>
      </c>
      <c r="C11" s="3" t="s">
        <v>121</v>
      </c>
      <c r="D11" s="3">
        <v>2020.0</v>
      </c>
      <c r="E11" s="3" t="s">
        <v>122</v>
      </c>
      <c r="F11" s="3" t="s">
        <v>123</v>
      </c>
      <c r="G11" s="3" t="s">
        <v>124</v>
      </c>
      <c r="H11" s="3" t="s">
        <v>125</v>
      </c>
      <c r="I11" s="3" t="s">
        <v>126</v>
      </c>
      <c r="J11" s="3" t="s">
        <v>127</v>
      </c>
      <c r="K11" s="3" t="s">
        <v>128</v>
      </c>
      <c r="L11" s="3" t="s">
        <v>129</v>
      </c>
      <c r="M11" s="3" t="s">
        <v>130</v>
      </c>
      <c r="N11" s="4"/>
      <c r="O11" s="4"/>
      <c r="P11" s="4"/>
      <c r="Q11" s="4"/>
      <c r="R11" s="4"/>
      <c r="S11" s="4"/>
      <c r="T11" s="4"/>
      <c r="U11" s="4"/>
      <c r="V11" s="4"/>
      <c r="W11" s="4"/>
      <c r="X11" s="4"/>
      <c r="Y11" s="4"/>
      <c r="Z11" s="4"/>
      <c r="AA11" s="4"/>
      <c r="AB11" s="4"/>
      <c r="AC11" s="4"/>
      <c r="AD11" s="4"/>
    </row>
    <row r="12">
      <c r="A12" s="3" t="s">
        <v>131</v>
      </c>
      <c r="B12" s="3" t="s">
        <v>132</v>
      </c>
      <c r="C12" s="3" t="s">
        <v>133</v>
      </c>
      <c r="D12" s="3">
        <v>2018.0</v>
      </c>
      <c r="E12" s="3" t="s">
        <v>134</v>
      </c>
      <c r="F12" s="3" t="s">
        <v>135</v>
      </c>
      <c r="G12" s="3" t="s">
        <v>136</v>
      </c>
      <c r="H12" s="3" t="s">
        <v>137</v>
      </c>
      <c r="I12" s="3" t="s">
        <v>138</v>
      </c>
      <c r="J12" s="3" t="s">
        <v>139</v>
      </c>
      <c r="K12" s="3" t="s">
        <v>140</v>
      </c>
      <c r="L12" s="3" t="s">
        <v>141</v>
      </c>
      <c r="M12" s="3" t="s">
        <v>142</v>
      </c>
      <c r="N12" s="4"/>
      <c r="O12" s="4"/>
      <c r="P12" s="4"/>
      <c r="Q12" s="4"/>
      <c r="R12" s="4"/>
      <c r="S12" s="4"/>
      <c r="T12" s="4"/>
      <c r="U12" s="4"/>
      <c r="V12" s="4"/>
      <c r="W12" s="4"/>
      <c r="X12" s="4"/>
      <c r="Y12" s="4"/>
      <c r="Z12" s="4"/>
      <c r="AA12" s="4"/>
      <c r="AB12" s="4"/>
      <c r="AC12" s="4"/>
      <c r="AD12" s="4"/>
    </row>
    <row r="13">
      <c r="A13" s="3" t="s">
        <v>143</v>
      </c>
      <c r="B13" s="3" t="s">
        <v>144</v>
      </c>
      <c r="C13" s="3" t="s">
        <v>145</v>
      </c>
      <c r="D13" s="3">
        <v>2024.0</v>
      </c>
      <c r="E13" s="3" t="s">
        <v>146</v>
      </c>
      <c r="F13" s="3" t="s">
        <v>147</v>
      </c>
      <c r="G13" s="3" t="s">
        <v>148</v>
      </c>
      <c r="H13" s="3" t="s">
        <v>149</v>
      </c>
      <c r="I13" s="3" t="s">
        <v>150</v>
      </c>
      <c r="J13" s="3" t="s">
        <v>151</v>
      </c>
      <c r="K13" s="3" t="s">
        <v>152</v>
      </c>
      <c r="L13" s="3" t="s">
        <v>153</v>
      </c>
      <c r="M13" s="3" t="s">
        <v>154</v>
      </c>
      <c r="N13" s="4"/>
      <c r="O13" s="4"/>
      <c r="P13" s="4"/>
      <c r="Q13" s="4"/>
      <c r="R13" s="4"/>
      <c r="S13" s="4"/>
      <c r="T13" s="4"/>
      <c r="U13" s="4"/>
      <c r="V13" s="4"/>
      <c r="W13" s="4"/>
      <c r="X13" s="4"/>
      <c r="Y13" s="4"/>
      <c r="Z13" s="4"/>
      <c r="AA13" s="4"/>
      <c r="AB13" s="4"/>
      <c r="AC13" s="4"/>
      <c r="AD13" s="4"/>
    </row>
    <row r="14">
      <c r="A14" s="3" t="s">
        <v>155</v>
      </c>
      <c r="B14" s="3" t="s">
        <v>156</v>
      </c>
      <c r="C14" s="3" t="s">
        <v>157</v>
      </c>
      <c r="D14" s="3">
        <v>2020.0</v>
      </c>
      <c r="E14" s="3" t="s">
        <v>158</v>
      </c>
      <c r="F14" s="3" t="s">
        <v>159</v>
      </c>
      <c r="G14" s="3" t="s">
        <v>160</v>
      </c>
      <c r="H14" s="3" t="s">
        <v>161</v>
      </c>
      <c r="I14" s="3" t="s">
        <v>162</v>
      </c>
      <c r="J14" s="3" t="s">
        <v>163</v>
      </c>
      <c r="K14" s="3" t="s">
        <v>164</v>
      </c>
      <c r="L14" s="3" t="s">
        <v>165</v>
      </c>
      <c r="M14" s="3" t="s">
        <v>166</v>
      </c>
      <c r="N14" s="4"/>
      <c r="O14" s="4"/>
      <c r="P14" s="4"/>
      <c r="Q14" s="4"/>
      <c r="R14" s="4"/>
      <c r="S14" s="4"/>
      <c r="T14" s="4"/>
      <c r="U14" s="4"/>
      <c r="V14" s="4"/>
      <c r="W14" s="4"/>
      <c r="X14" s="4"/>
      <c r="Y14" s="4"/>
      <c r="Z14" s="4"/>
      <c r="AA14" s="4"/>
      <c r="AB14" s="4"/>
      <c r="AC14" s="4"/>
      <c r="AD14" s="4"/>
    </row>
    <row r="15">
      <c r="A15" s="3" t="s">
        <v>167</v>
      </c>
      <c r="B15" s="3" t="s">
        <v>168</v>
      </c>
      <c r="C15" s="3" t="s">
        <v>169</v>
      </c>
      <c r="D15" s="3">
        <v>2016.0</v>
      </c>
      <c r="E15" s="3" t="s">
        <v>170</v>
      </c>
      <c r="F15" s="3" t="s">
        <v>171</v>
      </c>
      <c r="G15" s="3" t="s">
        <v>172</v>
      </c>
      <c r="H15" s="3" t="s">
        <v>173</v>
      </c>
      <c r="I15" s="3" t="s">
        <v>174</v>
      </c>
      <c r="J15" s="3" t="s">
        <v>175</v>
      </c>
      <c r="K15" s="3" t="s">
        <v>176</v>
      </c>
      <c r="L15" s="3" t="s">
        <v>177</v>
      </c>
      <c r="M15" s="3" t="s">
        <v>178</v>
      </c>
      <c r="N15" s="4"/>
      <c r="O15" s="4"/>
      <c r="P15" s="4"/>
      <c r="Q15" s="4"/>
      <c r="R15" s="4"/>
      <c r="S15" s="4"/>
      <c r="T15" s="4"/>
      <c r="U15" s="4"/>
      <c r="V15" s="4"/>
      <c r="W15" s="4"/>
      <c r="X15" s="4"/>
      <c r="Y15" s="4"/>
      <c r="Z15" s="4"/>
      <c r="AA15" s="4"/>
      <c r="AB15" s="4"/>
      <c r="AC15" s="4"/>
      <c r="AD15" s="4"/>
    </row>
    <row r="16">
      <c r="A16" s="3" t="s">
        <v>179</v>
      </c>
      <c r="B16" s="3" t="s">
        <v>180</v>
      </c>
      <c r="C16" s="3" t="s">
        <v>181</v>
      </c>
      <c r="D16" s="3">
        <v>2019.0</v>
      </c>
      <c r="E16" s="3" t="s">
        <v>182</v>
      </c>
      <c r="F16" s="3" t="s">
        <v>183</v>
      </c>
      <c r="G16" s="3" t="s">
        <v>184</v>
      </c>
      <c r="H16" s="3" t="s">
        <v>185</v>
      </c>
      <c r="I16" s="3" t="s">
        <v>186</v>
      </c>
      <c r="J16" s="3" t="s">
        <v>187</v>
      </c>
      <c r="K16" s="3" t="s">
        <v>188</v>
      </c>
      <c r="L16" s="3" t="s">
        <v>189</v>
      </c>
      <c r="M16" s="3" t="s">
        <v>190</v>
      </c>
      <c r="N16" s="4"/>
      <c r="O16" s="4"/>
      <c r="P16" s="4"/>
      <c r="Q16" s="4"/>
      <c r="R16" s="4"/>
      <c r="S16" s="4"/>
      <c r="T16" s="4"/>
      <c r="U16" s="4"/>
      <c r="V16" s="4"/>
      <c r="W16" s="4"/>
      <c r="X16" s="4"/>
      <c r="Y16" s="4"/>
      <c r="Z16" s="4"/>
      <c r="AA16" s="4"/>
      <c r="AB16" s="4"/>
      <c r="AC16" s="4"/>
      <c r="AD16" s="4"/>
    </row>
    <row r="17">
      <c r="A17" s="3" t="s">
        <v>191</v>
      </c>
      <c r="B17" s="3" t="s">
        <v>192</v>
      </c>
      <c r="C17" s="3" t="s">
        <v>193</v>
      </c>
      <c r="D17" s="3">
        <v>2021.0</v>
      </c>
      <c r="E17" s="3" t="s">
        <v>194</v>
      </c>
      <c r="F17" s="3" t="s">
        <v>195</v>
      </c>
      <c r="G17" s="3" t="s">
        <v>196</v>
      </c>
      <c r="H17" s="3" t="s">
        <v>197</v>
      </c>
      <c r="I17" s="3" t="s">
        <v>198</v>
      </c>
      <c r="J17" s="3" t="s">
        <v>199</v>
      </c>
      <c r="K17" s="3" t="s">
        <v>200</v>
      </c>
      <c r="L17" s="3" t="s">
        <v>201</v>
      </c>
      <c r="M17" s="3" t="s">
        <v>202</v>
      </c>
      <c r="N17" s="4"/>
      <c r="O17" s="4"/>
      <c r="P17" s="4"/>
      <c r="Q17" s="4"/>
      <c r="R17" s="4"/>
      <c r="S17" s="4"/>
      <c r="T17" s="4"/>
      <c r="U17" s="4"/>
      <c r="V17" s="4"/>
      <c r="W17" s="4"/>
      <c r="X17" s="4"/>
      <c r="Y17" s="4"/>
      <c r="Z17" s="4"/>
      <c r="AA17" s="4"/>
      <c r="AB17" s="4"/>
      <c r="AC17" s="4"/>
      <c r="AD17" s="4"/>
    </row>
    <row r="18">
      <c r="A18" s="3" t="s">
        <v>203</v>
      </c>
      <c r="B18" s="3" t="s">
        <v>204</v>
      </c>
      <c r="C18" s="3" t="s">
        <v>205</v>
      </c>
      <c r="D18" s="3">
        <v>2021.0</v>
      </c>
      <c r="E18" s="3" t="s">
        <v>206</v>
      </c>
      <c r="F18" s="3" t="s">
        <v>207</v>
      </c>
      <c r="G18" s="3" t="s">
        <v>208</v>
      </c>
      <c r="H18" s="3" t="s">
        <v>209</v>
      </c>
      <c r="I18" s="3" t="s">
        <v>210</v>
      </c>
      <c r="J18" s="3" t="s">
        <v>211</v>
      </c>
      <c r="K18" s="3" t="s">
        <v>212</v>
      </c>
      <c r="L18" s="3" t="s">
        <v>213</v>
      </c>
      <c r="M18" s="3" t="s">
        <v>214</v>
      </c>
      <c r="N18" s="4"/>
      <c r="O18" s="4"/>
      <c r="P18" s="4"/>
      <c r="Q18" s="4"/>
      <c r="R18" s="4"/>
      <c r="S18" s="4"/>
      <c r="T18" s="4"/>
      <c r="U18" s="4"/>
      <c r="V18" s="4"/>
      <c r="W18" s="4"/>
      <c r="X18" s="4"/>
      <c r="Y18" s="4"/>
      <c r="Z18" s="4"/>
      <c r="AA18" s="4"/>
      <c r="AB18" s="4"/>
      <c r="AC18" s="4"/>
      <c r="AD18" s="4"/>
    </row>
    <row r="19">
      <c r="A19" s="3" t="s">
        <v>215</v>
      </c>
      <c r="B19" s="3" t="s">
        <v>216</v>
      </c>
      <c r="C19" s="3" t="s">
        <v>217</v>
      </c>
      <c r="D19" s="3">
        <v>2023.0</v>
      </c>
      <c r="E19" s="3" t="s">
        <v>218</v>
      </c>
      <c r="F19" s="3" t="s">
        <v>219</v>
      </c>
      <c r="G19" s="3" t="s">
        <v>220</v>
      </c>
      <c r="H19" s="3" t="s">
        <v>221</v>
      </c>
      <c r="I19" s="3" t="s">
        <v>222</v>
      </c>
      <c r="J19" s="3" t="s">
        <v>223</v>
      </c>
      <c r="K19" s="3" t="s">
        <v>224</v>
      </c>
      <c r="L19" s="3" t="s">
        <v>225</v>
      </c>
      <c r="M19" s="3" t="s">
        <v>226</v>
      </c>
      <c r="N19" s="4"/>
      <c r="O19" s="4"/>
      <c r="P19" s="4"/>
      <c r="Q19" s="4"/>
      <c r="R19" s="4"/>
      <c r="S19" s="4"/>
      <c r="T19" s="4"/>
      <c r="U19" s="4"/>
      <c r="V19" s="4"/>
      <c r="W19" s="4"/>
      <c r="X19" s="4"/>
      <c r="Y19" s="4"/>
      <c r="Z19" s="4"/>
      <c r="AA19" s="4"/>
      <c r="AB19" s="4"/>
      <c r="AC19" s="4"/>
      <c r="AD19" s="4"/>
    </row>
    <row r="20">
      <c r="A20" s="3" t="s">
        <v>227</v>
      </c>
      <c r="B20" s="3" t="s">
        <v>228</v>
      </c>
      <c r="C20" s="3" t="s">
        <v>229</v>
      </c>
      <c r="D20" s="3">
        <v>2017.0</v>
      </c>
      <c r="E20" s="3" t="s">
        <v>230</v>
      </c>
      <c r="F20" s="3" t="s">
        <v>231</v>
      </c>
      <c r="G20" s="3" t="s">
        <v>232</v>
      </c>
      <c r="H20" s="3" t="s">
        <v>233</v>
      </c>
      <c r="I20" s="3" t="s">
        <v>234</v>
      </c>
      <c r="J20" s="3" t="s">
        <v>235</v>
      </c>
      <c r="K20" s="3" t="s">
        <v>236</v>
      </c>
      <c r="L20" s="3" t="s">
        <v>237</v>
      </c>
      <c r="M20" s="3" t="s">
        <v>238</v>
      </c>
      <c r="N20" s="4"/>
      <c r="O20" s="4"/>
      <c r="P20" s="4"/>
      <c r="Q20" s="4"/>
      <c r="R20" s="4"/>
      <c r="S20" s="4"/>
      <c r="T20" s="4"/>
      <c r="U20" s="4"/>
      <c r="V20" s="4"/>
      <c r="W20" s="4"/>
      <c r="X20" s="4"/>
      <c r="Y20" s="4"/>
      <c r="Z20" s="4"/>
      <c r="AA20" s="4"/>
      <c r="AB20" s="4"/>
      <c r="AC20" s="4"/>
      <c r="AD20" s="4"/>
    </row>
    <row r="21">
      <c r="A21" s="3" t="s">
        <v>239</v>
      </c>
      <c r="B21" s="3" t="s">
        <v>240</v>
      </c>
      <c r="C21" s="3" t="s">
        <v>241</v>
      </c>
      <c r="D21" s="3">
        <v>2018.0</v>
      </c>
      <c r="E21" s="3" t="s">
        <v>242</v>
      </c>
      <c r="F21" s="3" t="s">
        <v>243</v>
      </c>
      <c r="G21" s="3" t="s">
        <v>244</v>
      </c>
      <c r="H21" s="3" t="s">
        <v>20</v>
      </c>
      <c r="I21" s="3" t="s">
        <v>245</v>
      </c>
      <c r="J21" s="3" t="s">
        <v>246</v>
      </c>
      <c r="K21" s="3" t="s">
        <v>247</v>
      </c>
      <c r="L21" s="3" t="s">
        <v>248</v>
      </c>
      <c r="M21" s="3" t="s">
        <v>249</v>
      </c>
      <c r="N21" s="4"/>
      <c r="O21" s="4"/>
      <c r="P21" s="4"/>
      <c r="Q21" s="4"/>
      <c r="R21" s="4"/>
      <c r="S21" s="4"/>
      <c r="T21" s="4"/>
      <c r="U21" s="4"/>
      <c r="V21" s="4"/>
      <c r="W21" s="4"/>
      <c r="X21" s="4"/>
      <c r="Y21" s="4"/>
      <c r="Z21" s="4"/>
      <c r="AA21" s="4"/>
      <c r="AB21" s="4"/>
      <c r="AC21" s="4"/>
      <c r="AD21" s="4"/>
    </row>
    <row r="22">
      <c r="A22" s="3" t="s">
        <v>250</v>
      </c>
      <c r="B22" s="3" t="s">
        <v>251</v>
      </c>
      <c r="C22" s="3" t="s">
        <v>252</v>
      </c>
      <c r="D22" s="3">
        <v>2019.0</v>
      </c>
      <c r="E22" s="3" t="s">
        <v>253</v>
      </c>
      <c r="F22" s="3" t="s">
        <v>254</v>
      </c>
      <c r="G22" s="3" t="s">
        <v>255</v>
      </c>
      <c r="H22" s="3" t="s">
        <v>256</v>
      </c>
      <c r="I22" s="3" t="s">
        <v>257</v>
      </c>
      <c r="J22" s="3" t="s">
        <v>258</v>
      </c>
      <c r="K22" s="3" t="s">
        <v>259</v>
      </c>
      <c r="L22" s="3" t="s">
        <v>260</v>
      </c>
      <c r="M22" s="3" t="s">
        <v>261</v>
      </c>
      <c r="N22" s="4"/>
      <c r="O22" s="4"/>
      <c r="P22" s="4"/>
      <c r="Q22" s="4"/>
      <c r="R22" s="4"/>
      <c r="S22" s="4"/>
      <c r="T22" s="4"/>
      <c r="U22" s="4"/>
      <c r="V22" s="4"/>
      <c r="W22" s="4"/>
      <c r="X22" s="4"/>
      <c r="Y22" s="4"/>
      <c r="Z22" s="4"/>
      <c r="AA22" s="4"/>
      <c r="AB22" s="4"/>
      <c r="AC22" s="4"/>
      <c r="AD22" s="4"/>
    </row>
    <row r="23">
      <c r="A23" s="3" t="s">
        <v>262</v>
      </c>
      <c r="B23" s="3" t="s">
        <v>263</v>
      </c>
      <c r="C23" s="3" t="s">
        <v>264</v>
      </c>
      <c r="D23" s="3">
        <v>2023.0</v>
      </c>
      <c r="E23" s="3" t="s">
        <v>265</v>
      </c>
      <c r="F23" s="3" t="s">
        <v>266</v>
      </c>
      <c r="G23" s="3" t="s">
        <v>244</v>
      </c>
      <c r="H23" s="3" t="s">
        <v>267</v>
      </c>
      <c r="I23" s="3" t="s">
        <v>268</v>
      </c>
      <c r="J23" s="3" t="s">
        <v>269</v>
      </c>
      <c r="K23" s="3" t="s">
        <v>270</v>
      </c>
      <c r="L23" s="3" t="s">
        <v>271</v>
      </c>
      <c r="M23" s="3" t="s">
        <v>272</v>
      </c>
      <c r="N23" s="4"/>
      <c r="O23" s="4"/>
      <c r="P23" s="4"/>
      <c r="Q23" s="4"/>
      <c r="R23" s="4"/>
      <c r="S23" s="4"/>
      <c r="T23" s="4"/>
      <c r="U23" s="4"/>
      <c r="V23" s="4"/>
      <c r="W23" s="4"/>
      <c r="X23" s="4"/>
      <c r="Y23" s="4"/>
      <c r="Z23" s="4"/>
      <c r="AA23" s="4"/>
      <c r="AB23" s="4"/>
      <c r="AC23" s="4"/>
      <c r="AD23" s="4"/>
    </row>
    <row r="24">
      <c r="A24" s="3" t="s">
        <v>273</v>
      </c>
      <c r="B24" s="3" t="s">
        <v>274</v>
      </c>
      <c r="C24" s="3" t="s">
        <v>275</v>
      </c>
      <c r="D24" s="3">
        <v>2021.0</v>
      </c>
      <c r="E24" s="3" t="s">
        <v>276</v>
      </c>
      <c r="F24" s="3" t="s">
        <v>277</v>
      </c>
      <c r="G24" s="3" t="s">
        <v>278</v>
      </c>
      <c r="H24" s="3" t="s">
        <v>279</v>
      </c>
      <c r="I24" s="3" t="s">
        <v>280</v>
      </c>
      <c r="J24" s="3" t="s">
        <v>281</v>
      </c>
      <c r="K24" s="3" t="s">
        <v>282</v>
      </c>
      <c r="L24" s="3" t="s">
        <v>283</v>
      </c>
      <c r="M24" s="3" t="s">
        <v>284</v>
      </c>
      <c r="N24" s="4"/>
      <c r="O24" s="4"/>
      <c r="P24" s="4"/>
      <c r="Q24" s="4"/>
      <c r="R24" s="4"/>
      <c r="S24" s="4"/>
      <c r="T24" s="4"/>
      <c r="U24" s="4"/>
      <c r="V24" s="4"/>
      <c r="W24" s="4"/>
      <c r="X24" s="4"/>
      <c r="Y24" s="4"/>
      <c r="Z24" s="4"/>
      <c r="AA24" s="4"/>
      <c r="AB24" s="4"/>
      <c r="AC24" s="4"/>
      <c r="AD24" s="4"/>
    </row>
    <row r="25">
      <c r="A25" s="3" t="s">
        <v>285</v>
      </c>
      <c r="B25" s="3" t="s">
        <v>286</v>
      </c>
      <c r="C25" s="3" t="s">
        <v>287</v>
      </c>
      <c r="D25" s="3">
        <v>2023.0</v>
      </c>
      <c r="E25" s="3" t="s">
        <v>288</v>
      </c>
      <c r="F25" s="3" t="s">
        <v>289</v>
      </c>
      <c r="G25" s="3" t="s">
        <v>290</v>
      </c>
      <c r="H25" s="3" t="s">
        <v>221</v>
      </c>
      <c r="I25" s="3" t="s">
        <v>291</v>
      </c>
      <c r="J25" s="3" t="s">
        <v>292</v>
      </c>
      <c r="K25" s="3" t="s">
        <v>293</v>
      </c>
      <c r="L25" s="3" t="s">
        <v>294</v>
      </c>
      <c r="M25" s="3" t="s">
        <v>295</v>
      </c>
      <c r="N25" s="4"/>
      <c r="O25" s="4"/>
      <c r="P25" s="4"/>
      <c r="Q25" s="4"/>
      <c r="R25" s="4"/>
      <c r="S25" s="4"/>
      <c r="T25" s="4"/>
      <c r="U25" s="4"/>
      <c r="V25" s="4"/>
      <c r="W25" s="4"/>
      <c r="X25" s="4"/>
      <c r="Y25" s="4"/>
      <c r="Z25" s="4"/>
      <c r="AA25" s="4"/>
      <c r="AB25" s="4"/>
      <c r="AC25" s="4"/>
      <c r="AD25" s="4"/>
    </row>
    <row r="26">
      <c r="A26" s="3" t="s">
        <v>296</v>
      </c>
      <c r="B26" s="3" t="s">
        <v>297</v>
      </c>
      <c r="C26" s="3" t="s">
        <v>298</v>
      </c>
      <c r="D26" s="3">
        <v>2018.0</v>
      </c>
      <c r="E26" s="3" t="s">
        <v>299</v>
      </c>
      <c r="F26" s="3" t="s">
        <v>300</v>
      </c>
      <c r="G26" s="3" t="s">
        <v>301</v>
      </c>
      <c r="H26" s="3" t="s">
        <v>302</v>
      </c>
      <c r="I26" s="3" t="s">
        <v>303</v>
      </c>
      <c r="J26" s="3" t="s">
        <v>304</v>
      </c>
      <c r="K26" s="3" t="s">
        <v>304</v>
      </c>
      <c r="L26" s="3" t="s">
        <v>305</v>
      </c>
      <c r="M26" s="3" t="s">
        <v>306</v>
      </c>
      <c r="N26" s="4"/>
      <c r="O26" s="4"/>
      <c r="P26" s="4"/>
      <c r="Q26" s="4"/>
      <c r="R26" s="4"/>
      <c r="S26" s="4"/>
      <c r="T26" s="4"/>
      <c r="U26" s="4"/>
      <c r="V26" s="4"/>
      <c r="W26" s="4"/>
      <c r="X26" s="4"/>
      <c r="Y26" s="4"/>
      <c r="Z26" s="4"/>
      <c r="AA26" s="4"/>
      <c r="AB26" s="4"/>
      <c r="AC26" s="4"/>
      <c r="AD26" s="4"/>
    </row>
    <row r="27">
      <c r="A27" s="3" t="s">
        <v>307</v>
      </c>
      <c r="B27" s="3" t="s">
        <v>308</v>
      </c>
      <c r="C27" s="3" t="s">
        <v>309</v>
      </c>
      <c r="D27" s="3">
        <v>2018.0</v>
      </c>
      <c r="E27" s="3" t="s">
        <v>310</v>
      </c>
      <c r="F27" s="3" t="s">
        <v>311</v>
      </c>
      <c r="G27" s="3" t="s">
        <v>312</v>
      </c>
      <c r="H27" s="3" t="s">
        <v>313</v>
      </c>
      <c r="I27" s="3" t="s">
        <v>314</v>
      </c>
      <c r="J27" s="3" t="s">
        <v>315</v>
      </c>
      <c r="K27" s="3" t="s">
        <v>316</v>
      </c>
      <c r="L27" s="3" t="s">
        <v>317</v>
      </c>
      <c r="M27" s="3" t="s">
        <v>318</v>
      </c>
      <c r="N27" s="4"/>
      <c r="O27" s="4"/>
      <c r="P27" s="4"/>
      <c r="Q27" s="4"/>
      <c r="R27" s="4"/>
      <c r="S27" s="4"/>
      <c r="T27" s="4"/>
      <c r="U27" s="4"/>
      <c r="V27" s="4"/>
      <c r="W27" s="4"/>
      <c r="X27" s="4"/>
      <c r="Y27" s="4"/>
      <c r="Z27" s="4"/>
      <c r="AA27" s="4"/>
      <c r="AB27" s="4"/>
      <c r="AC27" s="4"/>
      <c r="AD27" s="4"/>
    </row>
    <row r="28">
      <c r="A28" s="3" t="s">
        <v>319</v>
      </c>
      <c r="B28" s="3" t="s">
        <v>320</v>
      </c>
      <c r="C28" s="3" t="s">
        <v>321</v>
      </c>
      <c r="D28" s="3">
        <v>2023.0</v>
      </c>
      <c r="E28" s="3" t="s">
        <v>322</v>
      </c>
      <c r="F28" s="3" t="s">
        <v>323</v>
      </c>
      <c r="G28" s="3" t="s">
        <v>324</v>
      </c>
      <c r="H28" s="3" t="s">
        <v>325</v>
      </c>
      <c r="I28" s="3" t="s">
        <v>326</v>
      </c>
      <c r="J28" s="3" t="s">
        <v>327</v>
      </c>
      <c r="K28" s="3" t="s">
        <v>328</v>
      </c>
      <c r="L28" s="3" t="s">
        <v>329</v>
      </c>
      <c r="M28" s="3" t="s">
        <v>330</v>
      </c>
      <c r="N28" s="4"/>
      <c r="O28" s="4"/>
      <c r="P28" s="4"/>
      <c r="Q28" s="4"/>
      <c r="R28" s="4"/>
      <c r="S28" s="4"/>
      <c r="T28" s="4"/>
      <c r="U28" s="4"/>
      <c r="V28" s="4"/>
      <c r="W28" s="4"/>
      <c r="X28" s="4"/>
      <c r="Y28" s="4"/>
      <c r="Z28" s="4"/>
      <c r="AA28" s="4"/>
      <c r="AB28" s="4"/>
      <c r="AC28" s="4"/>
      <c r="AD28" s="4"/>
    </row>
    <row r="29">
      <c r="A29" s="3" t="s">
        <v>331</v>
      </c>
      <c r="B29" s="3" t="s">
        <v>332</v>
      </c>
      <c r="C29" s="3" t="s">
        <v>333</v>
      </c>
      <c r="D29" s="3">
        <v>2017.0</v>
      </c>
      <c r="E29" s="3" t="s">
        <v>334</v>
      </c>
      <c r="F29" s="3" t="s">
        <v>335</v>
      </c>
      <c r="G29" s="3" t="s">
        <v>247</v>
      </c>
      <c r="H29" s="3" t="s">
        <v>336</v>
      </c>
      <c r="I29" s="3" t="s">
        <v>337</v>
      </c>
      <c r="J29" s="3" t="s">
        <v>338</v>
      </c>
      <c r="K29" s="3" t="s">
        <v>339</v>
      </c>
      <c r="L29" s="3" t="s">
        <v>340</v>
      </c>
      <c r="M29" s="3" t="s">
        <v>341</v>
      </c>
      <c r="N29" s="4"/>
      <c r="O29" s="4"/>
      <c r="P29" s="4"/>
      <c r="Q29" s="4"/>
      <c r="R29" s="4"/>
      <c r="S29" s="4"/>
      <c r="T29" s="4"/>
      <c r="U29" s="4"/>
      <c r="V29" s="4"/>
      <c r="W29" s="4"/>
      <c r="X29" s="4"/>
      <c r="Y29" s="4"/>
      <c r="Z29" s="4"/>
      <c r="AA29" s="4"/>
      <c r="AB29" s="4"/>
      <c r="AC29" s="4"/>
      <c r="AD29" s="4"/>
    </row>
    <row r="30">
      <c r="A30" s="3" t="s">
        <v>342</v>
      </c>
      <c r="B30" s="3" t="s">
        <v>343</v>
      </c>
      <c r="C30" s="3" t="s">
        <v>344</v>
      </c>
      <c r="D30" s="3">
        <v>2017.0</v>
      </c>
      <c r="E30" s="3" t="s">
        <v>345</v>
      </c>
      <c r="F30" s="3" t="s">
        <v>346</v>
      </c>
      <c r="G30" s="3" t="s">
        <v>347</v>
      </c>
      <c r="H30" s="3" t="s">
        <v>348</v>
      </c>
      <c r="I30" s="3" t="s">
        <v>349</v>
      </c>
      <c r="J30" s="3" t="s">
        <v>350</v>
      </c>
      <c r="K30" s="3" t="s">
        <v>351</v>
      </c>
      <c r="L30" s="3" t="s">
        <v>352</v>
      </c>
      <c r="M30" s="3" t="s">
        <v>353</v>
      </c>
      <c r="N30" s="4"/>
      <c r="O30" s="4"/>
      <c r="P30" s="4"/>
      <c r="Q30" s="4"/>
      <c r="R30" s="4"/>
      <c r="S30" s="4"/>
      <c r="T30" s="4"/>
      <c r="U30" s="4"/>
      <c r="V30" s="4"/>
      <c r="W30" s="4"/>
      <c r="X30" s="4"/>
      <c r="Y30" s="4"/>
      <c r="Z30" s="4"/>
      <c r="AA30" s="4"/>
      <c r="AB30" s="4"/>
      <c r="AC30" s="4"/>
      <c r="AD30" s="4"/>
    </row>
    <row r="31">
      <c r="A31" s="3" t="s">
        <v>354</v>
      </c>
      <c r="B31" s="3" t="s">
        <v>355</v>
      </c>
      <c r="C31" s="3" t="s">
        <v>356</v>
      </c>
      <c r="D31" s="3">
        <v>2020.0</v>
      </c>
      <c r="E31" s="3" t="s">
        <v>357</v>
      </c>
      <c r="F31" s="3" t="s">
        <v>358</v>
      </c>
      <c r="G31" s="3" t="s">
        <v>359</v>
      </c>
      <c r="H31" s="3" t="s">
        <v>360</v>
      </c>
      <c r="I31" s="3" t="s">
        <v>361</v>
      </c>
      <c r="J31" s="3" t="s">
        <v>362</v>
      </c>
      <c r="K31" s="3" t="s">
        <v>363</v>
      </c>
      <c r="L31" s="3" t="s">
        <v>364</v>
      </c>
      <c r="M31" s="3" t="s">
        <v>365</v>
      </c>
      <c r="N31" s="4"/>
      <c r="O31" s="4"/>
      <c r="P31" s="4"/>
      <c r="Q31" s="4"/>
      <c r="R31" s="4"/>
      <c r="S31" s="4"/>
      <c r="T31" s="4"/>
      <c r="U31" s="4"/>
      <c r="V31" s="4"/>
      <c r="W31" s="4"/>
      <c r="X31" s="4"/>
      <c r="Y31" s="4"/>
      <c r="Z31" s="4"/>
      <c r="AA31" s="4"/>
      <c r="AB31" s="4"/>
      <c r="AC31" s="4"/>
      <c r="AD31" s="4"/>
    </row>
    <row r="32">
      <c r="A32" s="3" t="s">
        <v>366</v>
      </c>
      <c r="B32" s="3" t="s">
        <v>367</v>
      </c>
      <c r="C32" s="3" t="s">
        <v>368</v>
      </c>
      <c r="D32" s="3">
        <v>2018.0</v>
      </c>
      <c r="E32" s="3" t="s">
        <v>369</v>
      </c>
      <c r="F32" s="3" t="s">
        <v>370</v>
      </c>
      <c r="G32" s="3" t="s">
        <v>371</v>
      </c>
      <c r="H32" s="3" t="s">
        <v>372</v>
      </c>
      <c r="I32" s="3" t="s">
        <v>373</v>
      </c>
      <c r="J32" s="3" t="s">
        <v>374</v>
      </c>
      <c r="K32" s="3" t="s">
        <v>375</v>
      </c>
      <c r="L32" s="3" t="s">
        <v>376</v>
      </c>
      <c r="M32" s="3" t="s">
        <v>377</v>
      </c>
      <c r="N32" s="4"/>
      <c r="O32" s="4"/>
      <c r="P32" s="4"/>
      <c r="Q32" s="4"/>
      <c r="R32" s="4"/>
      <c r="S32" s="4"/>
      <c r="T32" s="4"/>
      <c r="U32" s="4"/>
      <c r="V32" s="4"/>
      <c r="W32" s="4"/>
      <c r="X32" s="4"/>
      <c r="Y32" s="4"/>
      <c r="Z32" s="4"/>
      <c r="AA32" s="4"/>
      <c r="AB32" s="4"/>
      <c r="AC32" s="4"/>
      <c r="AD32" s="4"/>
    </row>
    <row r="33">
      <c r="A33" s="3" t="s">
        <v>378</v>
      </c>
      <c r="B33" s="3" t="s">
        <v>379</v>
      </c>
      <c r="C33" s="3" t="s">
        <v>380</v>
      </c>
      <c r="D33" s="3">
        <v>2015.0</v>
      </c>
      <c r="E33" s="3" t="s">
        <v>381</v>
      </c>
      <c r="F33" s="3" t="s">
        <v>382</v>
      </c>
      <c r="G33" s="3" t="s">
        <v>383</v>
      </c>
      <c r="H33" s="3" t="s">
        <v>384</v>
      </c>
      <c r="I33" s="3" t="s">
        <v>385</v>
      </c>
      <c r="J33" s="3" t="s">
        <v>22</v>
      </c>
      <c r="K33" s="3" t="s">
        <v>22</v>
      </c>
      <c r="L33" s="3" t="s">
        <v>386</v>
      </c>
      <c r="M33" s="3" t="s">
        <v>387</v>
      </c>
      <c r="N33" s="4"/>
      <c r="O33" s="4"/>
      <c r="P33" s="4"/>
      <c r="Q33" s="4"/>
      <c r="R33" s="4"/>
      <c r="S33" s="4"/>
      <c r="T33" s="4"/>
      <c r="U33" s="4"/>
      <c r="V33" s="4"/>
      <c r="W33" s="4"/>
      <c r="X33" s="4"/>
      <c r="Y33" s="4"/>
      <c r="Z33" s="4"/>
      <c r="AA33" s="4"/>
      <c r="AB33" s="4"/>
      <c r="AC33" s="4"/>
      <c r="AD33" s="4"/>
    </row>
    <row r="34">
      <c r="A34" s="3" t="s">
        <v>388</v>
      </c>
      <c r="B34" s="3" t="s">
        <v>389</v>
      </c>
      <c r="C34" s="3" t="s">
        <v>390</v>
      </c>
      <c r="D34" s="3">
        <v>2018.0</v>
      </c>
      <c r="E34" s="3" t="s">
        <v>391</v>
      </c>
      <c r="F34" s="3" t="s">
        <v>392</v>
      </c>
      <c r="G34" s="3" t="s">
        <v>393</v>
      </c>
      <c r="H34" s="3" t="s">
        <v>394</v>
      </c>
      <c r="I34" s="3" t="s">
        <v>395</v>
      </c>
      <c r="J34" s="3" t="s">
        <v>396</v>
      </c>
      <c r="K34" s="3" t="s">
        <v>397</v>
      </c>
      <c r="L34" s="3" t="s">
        <v>398</v>
      </c>
      <c r="M34" s="3" t="s">
        <v>399</v>
      </c>
      <c r="N34" s="4"/>
      <c r="O34" s="4"/>
      <c r="P34" s="4"/>
      <c r="Q34" s="4"/>
      <c r="R34" s="4"/>
      <c r="S34" s="4"/>
      <c r="T34" s="4"/>
      <c r="U34" s="4"/>
      <c r="V34" s="4"/>
      <c r="W34" s="4"/>
      <c r="X34" s="4"/>
      <c r="Y34" s="4"/>
      <c r="Z34" s="4"/>
      <c r="AA34" s="4"/>
      <c r="AB34" s="4"/>
      <c r="AC34" s="4"/>
      <c r="AD34" s="4"/>
    </row>
    <row r="35">
      <c r="A35" s="3" t="s">
        <v>400</v>
      </c>
      <c r="B35" s="3" t="s">
        <v>401</v>
      </c>
      <c r="C35" s="3" t="s">
        <v>402</v>
      </c>
      <c r="D35" s="3">
        <v>2020.0</v>
      </c>
      <c r="E35" s="3" t="s">
        <v>403</v>
      </c>
      <c r="F35" s="3" t="s">
        <v>404</v>
      </c>
      <c r="G35" s="3" t="s">
        <v>405</v>
      </c>
      <c r="H35" s="3" t="s">
        <v>406</v>
      </c>
      <c r="I35" s="3" t="s">
        <v>407</v>
      </c>
      <c r="J35" s="3" t="s">
        <v>408</v>
      </c>
      <c r="K35" s="3" t="s">
        <v>409</v>
      </c>
      <c r="L35" s="3" t="s">
        <v>410</v>
      </c>
      <c r="M35" s="3" t="s">
        <v>411</v>
      </c>
      <c r="N35" s="4"/>
      <c r="O35" s="4"/>
      <c r="P35" s="4"/>
      <c r="Q35" s="4"/>
      <c r="R35" s="4"/>
      <c r="S35" s="4"/>
      <c r="T35" s="4"/>
      <c r="U35" s="4"/>
      <c r="V35" s="4"/>
      <c r="W35" s="4"/>
      <c r="X35" s="4"/>
      <c r="Y35" s="4"/>
      <c r="Z35" s="4"/>
      <c r="AA35" s="4"/>
      <c r="AB35" s="4"/>
      <c r="AC35" s="4"/>
      <c r="AD35" s="4"/>
    </row>
    <row r="36">
      <c r="A36" s="3" t="s">
        <v>412</v>
      </c>
      <c r="B36" s="3" t="s">
        <v>413</v>
      </c>
      <c r="C36" s="3" t="s">
        <v>414</v>
      </c>
      <c r="D36" s="3">
        <v>2017.0</v>
      </c>
      <c r="E36" s="3" t="s">
        <v>415</v>
      </c>
      <c r="F36" s="3" t="s">
        <v>416</v>
      </c>
      <c r="G36" s="3" t="s">
        <v>417</v>
      </c>
      <c r="H36" s="3" t="s">
        <v>418</v>
      </c>
      <c r="I36" s="3" t="s">
        <v>349</v>
      </c>
      <c r="J36" s="3" t="s">
        <v>22</v>
      </c>
      <c r="K36" s="3" t="s">
        <v>22</v>
      </c>
      <c r="L36" s="3" t="s">
        <v>419</v>
      </c>
      <c r="M36" s="3" t="s">
        <v>420</v>
      </c>
      <c r="N36" s="4"/>
      <c r="O36" s="4"/>
      <c r="P36" s="4"/>
      <c r="Q36" s="4"/>
      <c r="R36" s="4"/>
      <c r="S36" s="4"/>
      <c r="T36" s="4"/>
      <c r="U36" s="4"/>
      <c r="V36" s="4"/>
      <c r="W36" s="4"/>
      <c r="X36" s="4"/>
      <c r="Y36" s="4"/>
      <c r="Z36" s="4"/>
      <c r="AA36" s="4"/>
      <c r="AB36" s="4"/>
      <c r="AC36" s="4"/>
      <c r="AD36" s="4"/>
    </row>
    <row r="37">
      <c r="A37" s="3" t="s">
        <v>421</v>
      </c>
      <c r="B37" s="3" t="s">
        <v>422</v>
      </c>
      <c r="C37" s="3" t="s">
        <v>423</v>
      </c>
      <c r="D37" s="3">
        <v>2022.0</v>
      </c>
      <c r="E37" s="3" t="s">
        <v>424</v>
      </c>
      <c r="F37" s="3" t="s">
        <v>425</v>
      </c>
      <c r="G37" s="3" t="s">
        <v>426</v>
      </c>
      <c r="H37" s="3" t="s">
        <v>427</v>
      </c>
      <c r="I37" s="3" t="s">
        <v>428</v>
      </c>
      <c r="J37" s="3" t="s">
        <v>429</v>
      </c>
      <c r="K37" s="3" t="s">
        <v>430</v>
      </c>
      <c r="L37" s="3" t="s">
        <v>431</v>
      </c>
      <c r="M37" s="3" t="s">
        <v>432</v>
      </c>
      <c r="N37" s="4"/>
      <c r="O37" s="4"/>
      <c r="P37" s="4"/>
      <c r="Q37" s="4"/>
      <c r="R37" s="4"/>
      <c r="S37" s="4"/>
      <c r="T37" s="4"/>
      <c r="U37" s="4"/>
      <c r="V37" s="4"/>
      <c r="W37" s="4"/>
      <c r="X37" s="4"/>
      <c r="Y37" s="4"/>
      <c r="Z37" s="4"/>
      <c r="AA37" s="4"/>
      <c r="AB37" s="4"/>
      <c r="AC37" s="4"/>
      <c r="AD37" s="4"/>
    </row>
    <row r="38">
      <c r="A38" s="3" t="s">
        <v>433</v>
      </c>
      <c r="B38" s="3" t="s">
        <v>434</v>
      </c>
      <c r="C38" s="3" t="s">
        <v>435</v>
      </c>
      <c r="D38" s="3">
        <v>2022.0</v>
      </c>
      <c r="E38" s="3" t="s">
        <v>436</v>
      </c>
      <c r="F38" s="3" t="s">
        <v>437</v>
      </c>
      <c r="G38" s="3" t="s">
        <v>438</v>
      </c>
      <c r="H38" s="3" t="s">
        <v>439</v>
      </c>
      <c r="I38" s="3" t="s">
        <v>440</v>
      </c>
      <c r="J38" s="3" t="s">
        <v>441</v>
      </c>
      <c r="K38" s="3" t="s">
        <v>220</v>
      </c>
      <c r="L38" s="3" t="s">
        <v>442</v>
      </c>
      <c r="M38" s="3" t="s">
        <v>443</v>
      </c>
      <c r="N38" s="4"/>
      <c r="O38" s="4"/>
      <c r="P38" s="4"/>
      <c r="Q38" s="4"/>
      <c r="R38" s="4"/>
      <c r="S38" s="4"/>
      <c r="T38" s="4"/>
      <c r="U38" s="4"/>
      <c r="V38" s="4"/>
      <c r="W38" s="4"/>
      <c r="X38" s="4"/>
      <c r="Y38" s="4"/>
      <c r="Z38" s="4"/>
      <c r="AA38" s="4"/>
      <c r="AB38" s="4"/>
      <c r="AC38" s="4"/>
      <c r="AD38" s="4"/>
    </row>
    <row r="39">
      <c r="A39" s="3" t="s">
        <v>444</v>
      </c>
      <c r="B39" s="3" t="s">
        <v>445</v>
      </c>
      <c r="C39" s="3" t="s">
        <v>446</v>
      </c>
      <c r="D39" s="3">
        <v>2020.0</v>
      </c>
      <c r="E39" s="3" t="s">
        <v>447</v>
      </c>
      <c r="F39" s="3" t="s">
        <v>448</v>
      </c>
      <c r="G39" s="3" t="s">
        <v>449</v>
      </c>
      <c r="H39" s="3" t="s">
        <v>450</v>
      </c>
      <c r="I39" s="3" t="s">
        <v>451</v>
      </c>
      <c r="J39" s="3" t="s">
        <v>452</v>
      </c>
      <c r="K39" s="3" t="s">
        <v>453</v>
      </c>
      <c r="L39" s="3" t="s">
        <v>454</v>
      </c>
      <c r="M39" s="3" t="s">
        <v>455</v>
      </c>
      <c r="N39" s="4"/>
      <c r="O39" s="4"/>
      <c r="P39" s="4"/>
      <c r="Q39" s="4"/>
      <c r="R39" s="4"/>
      <c r="S39" s="4"/>
      <c r="T39" s="4"/>
      <c r="U39" s="4"/>
      <c r="V39" s="4"/>
      <c r="W39" s="4"/>
      <c r="X39" s="4"/>
      <c r="Y39" s="4"/>
      <c r="Z39" s="4"/>
      <c r="AA39" s="4"/>
      <c r="AB39" s="4"/>
      <c r="AC39" s="4"/>
      <c r="AD39" s="4"/>
    </row>
    <row r="40">
      <c r="A40" s="3" t="s">
        <v>456</v>
      </c>
      <c r="B40" s="3" t="s">
        <v>457</v>
      </c>
      <c r="C40" s="3" t="s">
        <v>458</v>
      </c>
      <c r="D40" s="3">
        <v>2016.0</v>
      </c>
      <c r="E40" s="3" t="s">
        <v>459</v>
      </c>
      <c r="F40" s="3" t="s">
        <v>460</v>
      </c>
      <c r="G40" s="3" t="s">
        <v>461</v>
      </c>
      <c r="H40" s="3" t="s">
        <v>462</v>
      </c>
      <c r="I40" s="3" t="s">
        <v>463</v>
      </c>
      <c r="J40" s="3" t="s">
        <v>464</v>
      </c>
      <c r="K40" s="3" t="s">
        <v>465</v>
      </c>
      <c r="L40" s="3" t="s">
        <v>466</v>
      </c>
      <c r="M40" s="3" t="s">
        <v>467</v>
      </c>
      <c r="N40" s="4"/>
      <c r="O40" s="4"/>
      <c r="P40" s="4"/>
      <c r="Q40" s="4"/>
      <c r="R40" s="4"/>
      <c r="S40" s="4"/>
      <c r="T40" s="4"/>
      <c r="U40" s="4"/>
      <c r="V40" s="4"/>
      <c r="W40" s="4"/>
      <c r="X40" s="4"/>
      <c r="Y40" s="4"/>
      <c r="Z40" s="4"/>
      <c r="AA40" s="4"/>
      <c r="AB40" s="4"/>
      <c r="AC40" s="4"/>
      <c r="AD40" s="4"/>
    </row>
    <row r="41">
      <c r="A41" s="3" t="s">
        <v>468</v>
      </c>
      <c r="B41" s="3" t="s">
        <v>469</v>
      </c>
      <c r="C41" s="3" t="s">
        <v>470</v>
      </c>
      <c r="D41" s="3">
        <v>2024.0</v>
      </c>
      <c r="E41" s="3" t="s">
        <v>471</v>
      </c>
      <c r="F41" s="3" t="s">
        <v>472</v>
      </c>
      <c r="G41" s="3" t="s">
        <v>351</v>
      </c>
      <c r="H41" s="3" t="s">
        <v>473</v>
      </c>
      <c r="I41" s="3" t="s">
        <v>55</v>
      </c>
      <c r="J41" s="3" t="s">
        <v>474</v>
      </c>
      <c r="K41" s="3" t="s">
        <v>475</v>
      </c>
      <c r="L41" s="3" t="s">
        <v>476</v>
      </c>
      <c r="M41" s="3" t="s">
        <v>477</v>
      </c>
      <c r="N41" s="4"/>
      <c r="O41" s="4"/>
      <c r="P41" s="4"/>
      <c r="Q41" s="4"/>
      <c r="R41" s="4"/>
      <c r="S41" s="4"/>
      <c r="T41" s="4"/>
      <c r="U41" s="4"/>
      <c r="V41" s="4"/>
      <c r="W41" s="4"/>
      <c r="X41" s="4"/>
      <c r="Y41" s="4"/>
      <c r="Z41" s="4"/>
      <c r="AA41" s="4"/>
      <c r="AB41" s="4"/>
      <c r="AC41" s="4"/>
      <c r="AD41" s="4"/>
    </row>
    <row r="42">
      <c r="A42" s="3" t="s">
        <v>478</v>
      </c>
      <c r="B42" s="3" t="s">
        <v>479</v>
      </c>
      <c r="C42" s="3" t="s">
        <v>480</v>
      </c>
      <c r="D42" s="3">
        <v>2025.0</v>
      </c>
      <c r="E42" s="3" t="s">
        <v>481</v>
      </c>
      <c r="F42" s="3" t="s">
        <v>482</v>
      </c>
      <c r="G42" s="3" t="s">
        <v>483</v>
      </c>
      <c r="H42" s="3" t="s">
        <v>484</v>
      </c>
      <c r="I42" s="3" t="s">
        <v>485</v>
      </c>
      <c r="J42" s="3" t="s">
        <v>486</v>
      </c>
      <c r="K42" s="3" t="s">
        <v>487</v>
      </c>
      <c r="L42" s="3" t="s">
        <v>488</v>
      </c>
      <c r="M42" s="3" t="s">
        <v>489</v>
      </c>
      <c r="N42" s="4"/>
      <c r="O42" s="4"/>
      <c r="P42" s="4"/>
      <c r="Q42" s="4"/>
      <c r="R42" s="4"/>
      <c r="S42" s="4"/>
      <c r="T42" s="4"/>
      <c r="U42" s="4"/>
      <c r="V42" s="4"/>
      <c r="W42" s="4"/>
      <c r="X42" s="4"/>
      <c r="Y42" s="4"/>
      <c r="Z42" s="4"/>
      <c r="AA42" s="4"/>
      <c r="AB42" s="4"/>
      <c r="AC42" s="4"/>
      <c r="AD42" s="4"/>
    </row>
    <row r="43">
      <c r="A43" s="3" t="s">
        <v>490</v>
      </c>
      <c r="B43" s="3" t="s">
        <v>491</v>
      </c>
      <c r="C43" s="3" t="s">
        <v>492</v>
      </c>
      <c r="D43" s="3">
        <v>2021.0</v>
      </c>
      <c r="E43" s="3" t="s">
        <v>493</v>
      </c>
      <c r="F43" s="3" t="s">
        <v>494</v>
      </c>
      <c r="G43" s="3" t="s">
        <v>495</v>
      </c>
      <c r="H43" s="3" t="s">
        <v>496</v>
      </c>
      <c r="I43" s="3" t="s">
        <v>497</v>
      </c>
      <c r="J43" s="3" t="s">
        <v>498</v>
      </c>
      <c r="K43" s="3" t="s">
        <v>499</v>
      </c>
      <c r="L43" s="3" t="s">
        <v>500</v>
      </c>
      <c r="M43" s="3" t="s">
        <v>501</v>
      </c>
      <c r="N43" s="4"/>
      <c r="O43" s="4"/>
      <c r="P43" s="4"/>
      <c r="Q43" s="4"/>
      <c r="R43" s="4"/>
      <c r="S43" s="4"/>
      <c r="T43" s="4"/>
      <c r="U43" s="4"/>
      <c r="V43" s="4"/>
      <c r="W43" s="4"/>
      <c r="X43" s="4"/>
      <c r="Y43" s="4"/>
      <c r="Z43" s="4"/>
      <c r="AA43" s="4"/>
      <c r="AB43" s="4"/>
      <c r="AC43" s="4"/>
      <c r="AD43" s="4"/>
    </row>
    <row r="44">
      <c r="A44" s="3" t="s">
        <v>502</v>
      </c>
      <c r="B44" s="3" t="s">
        <v>503</v>
      </c>
      <c r="C44" s="3" t="s">
        <v>504</v>
      </c>
      <c r="D44" s="3">
        <v>2018.0</v>
      </c>
      <c r="E44" s="3" t="s">
        <v>505</v>
      </c>
      <c r="F44" s="3" t="s">
        <v>506</v>
      </c>
      <c r="G44" s="3" t="s">
        <v>507</v>
      </c>
      <c r="H44" s="3" t="s">
        <v>508</v>
      </c>
      <c r="I44" s="3" t="s">
        <v>509</v>
      </c>
      <c r="J44" s="3" t="s">
        <v>510</v>
      </c>
      <c r="K44" s="3" t="s">
        <v>511</v>
      </c>
      <c r="L44" s="3" t="s">
        <v>512</v>
      </c>
      <c r="M44" s="3" t="s">
        <v>513</v>
      </c>
      <c r="N44" s="4"/>
      <c r="O44" s="4"/>
      <c r="P44" s="4"/>
      <c r="Q44" s="4"/>
      <c r="R44" s="4"/>
      <c r="S44" s="4"/>
      <c r="T44" s="4"/>
      <c r="U44" s="4"/>
      <c r="V44" s="4"/>
      <c r="W44" s="4"/>
      <c r="X44" s="4"/>
      <c r="Y44" s="4"/>
      <c r="Z44" s="4"/>
      <c r="AA44" s="4"/>
      <c r="AB44" s="4"/>
      <c r="AC44" s="4"/>
      <c r="AD44" s="4"/>
    </row>
    <row r="45">
      <c r="A45" s="3" t="s">
        <v>514</v>
      </c>
      <c r="B45" s="3" t="s">
        <v>515</v>
      </c>
      <c r="C45" s="3" t="s">
        <v>516</v>
      </c>
      <c r="D45" s="3">
        <v>2025.0</v>
      </c>
      <c r="E45" s="3" t="s">
        <v>517</v>
      </c>
      <c r="F45" s="3" t="s">
        <v>518</v>
      </c>
      <c r="G45" s="3" t="s">
        <v>519</v>
      </c>
      <c r="H45" s="3" t="s">
        <v>520</v>
      </c>
      <c r="I45" s="3" t="s">
        <v>521</v>
      </c>
      <c r="J45" s="3" t="s">
        <v>351</v>
      </c>
      <c r="K45" s="3" t="s">
        <v>522</v>
      </c>
      <c r="L45" s="3" t="s">
        <v>523</v>
      </c>
      <c r="M45" s="3" t="s">
        <v>524</v>
      </c>
      <c r="N45" s="4"/>
      <c r="O45" s="4"/>
      <c r="P45" s="4"/>
      <c r="Q45" s="4"/>
      <c r="R45" s="4"/>
      <c r="S45" s="4"/>
      <c r="T45" s="4"/>
      <c r="U45" s="4"/>
      <c r="V45" s="4"/>
      <c r="W45" s="4"/>
      <c r="X45" s="4"/>
      <c r="Y45" s="4"/>
      <c r="Z45" s="4"/>
      <c r="AA45" s="4"/>
      <c r="AB45" s="4"/>
      <c r="AC45" s="4"/>
      <c r="AD45" s="4"/>
    </row>
    <row r="46">
      <c r="A46" s="3" t="s">
        <v>525</v>
      </c>
      <c r="B46" s="3" t="s">
        <v>526</v>
      </c>
      <c r="C46" s="3" t="s">
        <v>527</v>
      </c>
      <c r="D46" s="3">
        <v>2021.0</v>
      </c>
      <c r="E46" s="3" t="s">
        <v>528</v>
      </c>
      <c r="F46" s="3" t="s">
        <v>529</v>
      </c>
      <c r="G46" s="3" t="s">
        <v>530</v>
      </c>
      <c r="H46" s="3" t="s">
        <v>531</v>
      </c>
      <c r="I46" s="3" t="s">
        <v>532</v>
      </c>
      <c r="J46" s="3" t="s">
        <v>533</v>
      </c>
      <c r="K46" s="3" t="s">
        <v>534</v>
      </c>
      <c r="L46" s="3" t="s">
        <v>535</v>
      </c>
      <c r="M46" s="3" t="s">
        <v>536</v>
      </c>
      <c r="N46" s="4"/>
      <c r="O46" s="4"/>
      <c r="P46" s="4"/>
      <c r="Q46" s="4"/>
      <c r="R46" s="4"/>
      <c r="S46" s="4"/>
      <c r="T46" s="4"/>
      <c r="U46" s="4"/>
      <c r="V46" s="4"/>
      <c r="W46" s="4"/>
      <c r="X46" s="4"/>
      <c r="Y46" s="4"/>
      <c r="Z46" s="4"/>
      <c r="AA46" s="4"/>
      <c r="AB46" s="4"/>
      <c r="AC46" s="4"/>
      <c r="AD46" s="4"/>
    </row>
    <row r="47">
      <c r="A47" s="3" t="s">
        <v>537</v>
      </c>
      <c r="B47" s="3" t="s">
        <v>538</v>
      </c>
      <c r="C47" s="3" t="s">
        <v>539</v>
      </c>
      <c r="D47" s="3">
        <v>2019.0</v>
      </c>
      <c r="E47" s="3" t="s">
        <v>540</v>
      </c>
      <c r="F47" s="3" t="s">
        <v>541</v>
      </c>
      <c r="G47" s="3" t="s">
        <v>542</v>
      </c>
      <c r="H47" s="3" t="s">
        <v>543</v>
      </c>
      <c r="I47" s="3" t="s">
        <v>544</v>
      </c>
      <c r="J47" s="3" t="s">
        <v>545</v>
      </c>
      <c r="K47" s="3" t="s">
        <v>546</v>
      </c>
      <c r="L47" s="3" t="s">
        <v>547</v>
      </c>
      <c r="M47" s="3" t="s">
        <v>548</v>
      </c>
      <c r="N47" s="4"/>
      <c r="O47" s="4"/>
      <c r="P47" s="4"/>
      <c r="Q47" s="4"/>
      <c r="R47" s="4"/>
      <c r="S47" s="4"/>
      <c r="T47" s="4"/>
      <c r="U47" s="4"/>
      <c r="V47" s="4"/>
      <c r="W47" s="4"/>
      <c r="X47" s="4"/>
      <c r="Y47" s="4"/>
      <c r="Z47" s="4"/>
      <c r="AA47" s="4"/>
      <c r="AB47" s="4"/>
      <c r="AC47" s="4"/>
      <c r="AD47" s="4"/>
    </row>
    <row r="48">
      <c r="A48" s="3" t="s">
        <v>549</v>
      </c>
      <c r="B48" s="3" t="s">
        <v>550</v>
      </c>
      <c r="C48" s="3" t="s">
        <v>551</v>
      </c>
      <c r="D48" s="3">
        <v>2020.0</v>
      </c>
      <c r="E48" s="3" t="s">
        <v>552</v>
      </c>
      <c r="F48" s="3" t="s">
        <v>553</v>
      </c>
      <c r="G48" s="3" t="s">
        <v>554</v>
      </c>
      <c r="H48" s="3" t="s">
        <v>555</v>
      </c>
      <c r="I48" s="3" t="s">
        <v>556</v>
      </c>
      <c r="J48" s="3" t="s">
        <v>557</v>
      </c>
      <c r="K48" s="3" t="s">
        <v>558</v>
      </c>
      <c r="L48" s="3" t="s">
        <v>559</v>
      </c>
      <c r="M48" s="3" t="s">
        <v>560</v>
      </c>
      <c r="N48" s="4"/>
      <c r="O48" s="4"/>
      <c r="P48" s="4"/>
      <c r="Q48" s="4"/>
      <c r="R48" s="4"/>
      <c r="S48" s="4"/>
      <c r="T48" s="4"/>
      <c r="U48" s="4"/>
      <c r="V48" s="4"/>
      <c r="W48" s="4"/>
      <c r="X48" s="4"/>
      <c r="Y48" s="4"/>
      <c r="Z48" s="4"/>
      <c r="AA48" s="4"/>
      <c r="AB48" s="4"/>
      <c r="AC48" s="4"/>
      <c r="AD48" s="4"/>
    </row>
    <row r="49">
      <c r="A49" s="3" t="s">
        <v>561</v>
      </c>
      <c r="B49" s="3" t="s">
        <v>562</v>
      </c>
      <c r="C49" s="3" t="s">
        <v>15</v>
      </c>
      <c r="D49" s="3">
        <v>2021.0</v>
      </c>
      <c r="E49" s="3" t="s">
        <v>563</v>
      </c>
      <c r="F49" s="3" t="s">
        <v>564</v>
      </c>
      <c r="G49" s="3" t="s">
        <v>565</v>
      </c>
      <c r="H49" s="3" t="s">
        <v>566</v>
      </c>
      <c r="I49" s="3" t="s">
        <v>567</v>
      </c>
      <c r="J49" s="3" t="s">
        <v>568</v>
      </c>
      <c r="K49" s="3" t="s">
        <v>569</v>
      </c>
      <c r="L49" s="3" t="s">
        <v>570</v>
      </c>
      <c r="M49" s="3" t="s">
        <v>571</v>
      </c>
      <c r="N49" s="4"/>
      <c r="O49" s="4"/>
      <c r="P49" s="4"/>
      <c r="Q49" s="4"/>
      <c r="R49" s="4"/>
      <c r="S49" s="4"/>
      <c r="T49" s="4"/>
      <c r="U49" s="4"/>
      <c r="V49" s="4"/>
      <c r="W49" s="4"/>
      <c r="X49" s="4"/>
      <c r="Y49" s="4"/>
      <c r="Z49" s="4"/>
      <c r="AA49" s="4"/>
      <c r="AB49" s="4"/>
      <c r="AC49" s="4"/>
      <c r="AD49" s="4"/>
    </row>
    <row r="50">
      <c r="A50" s="3" t="s">
        <v>572</v>
      </c>
      <c r="B50" s="3" t="s">
        <v>573</v>
      </c>
      <c r="C50" s="3" t="s">
        <v>574</v>
      </c>
      <c r="D50" s="3">
        <v>2017.0</v>
      </c>
      <c r="E50" s="3" t="s">
        <v>575</v>
      </c>
      <c r="F50" s="3" t="s">
        <v>576</v>
      </c>
      <c r="G50" s="3" t="s">
        <v>577</v>
      </c>
      <c r="H50" s="3" t="s">
        <v>578</v>
      </c>
      <c r="I50" s="3" t="s">
        <v>579</v>
      </c>
      <c r="J50" s="3" t="s">
        <v>580</v>
      </c>
      <c r="K50" s="3" t="s">
        <v>581</v>
      </c>
      <c r="L50" s="3" t="s">
        <v>582</v>
      </c>
      <c r="M50" s="3" t="s">
        <v>583</v>
      </c>
      <c r="N50" s="4"/>
      <c r="O50" s="4"/>
      <c r="P50" s="4"/>
      <c r="Q50" s="4"/>
      <c r="R50" s="4"/>
      <c r="S50" s="4"/>
      <c r="T50" s="4"/>
      <c r="U50" s="4"/>
      <c r="V50" s="4"/>
      <c r="W50" s="4"/>
      <c r="X50" s="4"/>
      <c r="Y50" s="4"/>
      <c r="Z50" s="4"/>
      <c r="AA50" s="4"/>
      <c r="AB50" s="4"/>
      <c r="AC50" s="4"/>
      <c r="AD50" s="4"/>
    </row>
    <row r="51">
      <c r="A51" s="3" t="s">
        <v>584</v>
      </c>
      <c r="B51" s="3" t="s">
        <v>585</v>
      </c>
      <c r="C51" s="3" t="s">
        <v>586</v>
      </c>
      <c r="D51" s="3">
        <v>2019.0</v>
      </c>
      <c r="E51" s="3" t="s">
        <v>587</v>
      </c>
      <c r="F51" s="3" t="s">
        <v>588</v>
      </c>
      <c r="G51" s="3" t="s">
        <v>247</v>
      </c>
      <c r="H51" s="3" t="s">
        <v>589</v>
      </c>
      <c r="I51" s="3" t="s">
        <v>590</v>
      </c>
      <c r="J51" s="3" t="s">
        <v>591</v>
      </c>
      <c r="K51" s="3" t="s">
        <v>592</v>
      </c>
      <c r="L51" s="3" t="s">
        <v>593</v>
      </c>
      <c r="M51" s="3" t="s">
        <v>594</v>
      </c>
      <c r="N51" s="4"/>
      <c r="O51" s="4"/>
      <c r="P51" s="4"/>
      <c r="Q51" s="4"/>
      <c r="R51" s="4"/>
      <c r="S51" s="4"/>
      <c r="T51" s="4"/>
      <c r="U51" s="4"/>
      <c r="V51" s="4"/>
      <c r="W51" s="4"/>
      <c r="X51" s="4"/>
      <c r="Y51" s="4"/>
      <c r="Z51" s="4"/>
      <c r="AA51" s="4"/>
      <c r="AB51" s="4"/>
      <c r="AC51" s="4"/>
      <c r="AD51" s="4"/>
    </row>
    <row r="52">
      <c r="A52" s="3" t="s">
        <v>595</v>
      </c>
      <c r="B52" s="3" t="s">
        <v>596</v>
      </c>
      <c r="C52" s="3" t="s">
        <v>527</v>
      </c>
      <c r="D52" s="3">
        <v>2019.0</v>
      </c>
      <c r="E52" s="3" t="s">
        <v>597</v>
      </c>
      <c r="F52" s="3" t="s">
        <v>598</v>
      </c>
      <c r="G52" s="3" t="s">
        <v>247</v>
      </c>
      <c r="H52" s="3" t="s">
        <v>599</v>
      </c>
      <c r="I52" s="3" t="s">
        <v>544</v>
      </c>
      <c r="J52" s="3" t="s">
        <v>600</v>
      </c>
      <c r="K52" s="3" t="s">
        <v>601</v>
      </c>
      <c r="L52" s="3" t="s">
        <v>602</v>
      </c>
      <c r="M52" s="3" t="s">
        <v>603</v>
      </c>
      <c r="N52" s="4"/>
      <c r="O52" s="4"/>
      <c r="P52" s="4"/>
      <c r="Q52" s="4"/>
      <c r="R52" s="4"/>
      <c r="S52" s="4"/>
      <c r="T52" s="4"/>
      <c r="U52" s="4"/>
      <c r="V52" s="4"/>
      <c r="W52" s="4"/>
      <c r="X52" s="4"/>
      <c r="Y52" s="4"/>
      <c r="Z52" s="4"/>
      <c r="AA52" s="4"/>
      <c r="AB52" s="4"/>
      <c r="AC52" s="4"/>
      <c r="AD52" s="4"/>
    </row>
    <row r="53">
      <c r="A53" s="3" t="s">
        <v>604</v>
      </c>
      <c r="B53" s="3" t="s">
        <v>605</v>
      </c>
      <c r="C53" s="3" t="s">
        <v>606</v>
      </c>
      <c r="D53" s="3">
        <v>2022.0</v>
      </c>
      <c r="E53" s="3" t="s">
        <v>607</v>
      </c>
      <c r="F53" s="3" t="s">
        <v>608</v>
      </c>
      <c r="G53" s="3" t="s">
        <v>609</v>
      </c>
      <c r="H53" s="3" t="s">
        <v>462</v>
      </c>
      <c r="I53" s="3" t="s">
        <v>610</v>
      </c>
      <c r="J53" s="3" t="s">
        <v>351</v>
      </c>
      <c r="K53" s="3" t="s">
        <v>351</v>
      </c>
      <c r="L53" s="3" t="s">
        <v>611</v>
      </c>
      <c r="M53" s="3" t="s">
        <v>612</v>
      </c>
      <c r="N53" s="4"/>
      <c r="O53" s="4"/>
      <c r="P53" s="4"/>
      <c r="Q53" s="4"/>
      <c r="R53" s="4"/>
      <c r="S53" s="4"/>
      <c r="T53" s="4"/>
      <c r="U53" s="4"/>
      <c r="V53" s="4"/>
      <c r="W53" s="4"/>
      <c r="X53" s="4"/>
      <c r="Y53" s="4"/>
      <c r="Z53" s="4"/>
      <c r="AA53" s="4"/>
      <c r="AB53" s="4"/>
      <c r="AC53" s="4"/>
      <c r="AD53" s="4"/>
    </row>
    <row r="54">
      <c r="A54" s="3" t="s">
        <v>613</v>
      </c>
      <c r="B54" s="3" t="s">
        <v>614</v>
      </c>
      <c r="C54" s="3" t="s">
        <v>615</v>
      </c>
      <c r="D54" s="3">
        <v>2021.0</v>
      </c>
      <c r="E54" s="3" t="s">
        <v>616</v>
      </c>
      <c r="F54" s="3" t="s">
        <v>617</v>
      </c>
      <c r="G54" s="3" t="s">
        <v>618</v>
      </c>
      <c r="H54" s="3" t="s">
        <v>619</v>
      </c>
      <c r="I54" s="3" t="s">
        <v>620</v>
      </c>
      <c r="J54" s="3" t="s">
        <v>621</v>
      </c>
      <c r="K54" s="3" t="s">
        <v>622</v>
      </c>
      <c r="L54" s="3" t="s">
        <v>623</v>
      </c>
      <c r="M54" s="3" t="s">
        <v>624</v>
      </c>
      <c r="N54" s="4"/>
      <c r="O54" s="4"/>
      <c r="P54" s="4"/>
      <c r="Q54" s="4"/>
      <c r="R54" s="4"/>
      <c r="S54" s="4"/>
      <c r="T54" s="4"/>
      <c r="U54" s="4"/>
      <c r="V54" s="4"/>
      <c r="W54" s="4"/>
      <c r="X54" s="4"/>
      <c r="Y54" s="4"/>
      <c r="Z54" s="4"/>
      <c r="AA54" s="4"/>
      <c r="AB54" s="4"/>
      <c r="AC54" s="4"/>
      <c r="AD54" s="4"/>
    </row>
    <row r="55">
      <c r="A55" s="3" t="s">
        <v>625</v>
      </c>
      <c r="B55" s="3" t="s">
        <v>626</v>
      </c>
      <c r="C55" s="3" t="s">
        <v>627</v>
      </c>
      <c r="D55" s="3">
        <v>2017.0</v>
      </c>
      <c r="E55" s="3" t="s">
        <v>628</v>
      </c>
      <c r="F55" s="3" t="s">
        <v>629</v>
      </c>
      <c r="G55" s="3" t="s">
        <v>630</v>
      </c>
      <c r="H55" s="3" t="s">
        <v>462</v>
      </c>
      <c r="I55" s="3" t="s">
        <v>631</v>
      </c>
      <c r="J55" s="3" t="s">
        <v>632</v>
      </c>
      <c r="K55" s="3" t="s">
        <v>633</v>
      </c>
      <c r="L55" s="3" t="s">
        <v>634</v>
      </c>
      <c r="M55" s="3" t="s">
        <v>635</v>
      </c>
      <c r="N55" s="4"/>
      <c r="O55" s="4"/>
      <c r="P55" s="4"/>
      <c r="Q55" s="4"/>
      <c r="R55" s="4"/>
      <c r="S55" s="4"/>
      <c r="T55" s="4"/>
      <c r="U55" s="4"/>
      <c r="V55" s="4"/>
      <c r="W55" s="4"/>
      <c r="X55" s="4"/>
      <c r="Y55" s="4"/>
      <c r="Z55" s="4"/>
      <c r="AA55" s="4"/>
      <c r="AB55" s="4"/>
      <c r="AC55" s="4"/>
      <c r="AD55" s="4"/>
    </row>
    <row r="56">
      <c r="A56" s="3" t="s">
        <v>636</v>
      </c>
      <c r="B56" s="3" t="s">
        <v>637</v>
      </c>
      <c r="C56" s="3" t="s">
        <v>638</v>
      </c>
      <c r="D56" s="3">
        <v>2021.0</v>
      </c>
      <c r="E56" s="3" t="s">
        <v>639</v>
      </c>
      <c r="F56" s="3" t="s">
        <v>640</v>
      </c>
      <c r="G56" s="3" t="s">
        <v>641</v>
      </c>
      <c r="H56" s="3" t="s">
        <v>642</v>
      </c>
      <c r="I56" s="3" t="s">
        <v>643</v>
      </c>
      <c r="J56" s="3" t="s">
        <v>644</v>
      </c>
      <c r="K56" s="3" t="s">
        <v>645</v>
      </c>
      <c r="L56" s="3" t="s">
        <v>646</v>
      </c>
      <c r="M56" s="3" t="s">
        <v>647</v>
      </c>
      <c r="N56" s="4"/>
      <c r="O56" s="4"/>
      <c r="P56" s="4"/>
      <c r="Q56" s="4"/>
      <c r="R56" s="4"/>
      <c r="S56" s="4"/>
      <c r="T56" s="4"/>
      <c r="U56" s="4"/>
      <c r="V56" s="4"/>
      <c r="W56" s="4"/>
      <c r="X56" s="4"/>
      <c r="Y56" s="4"/>
      <c r="Z56" s="4"/>
      <c r="AA56" s="4"/>
      <c r="AB56" s="4"/>
      <c r="AC56" s="4"/>
      <c r="AD56" s="4"/>
    </row>
    <row r="57">
      <c r="A57" s="3" t="s">
        <v>648</v>
      </c>
      <c r="B57" s="3" t="s">
        <v>649</v>
      </c>
      <c r="C57" s="3" t="s">
        <v>650</v>
      </c>
      <c r="D57" s="3">
        <v>2017.0</v>
      </c>
      <c r="E57" s="3" t="s">
        <v>651</v>
      </c>
      <c r="F57" s="3" t="s">
        <v>652</v>
      </c>
      <c r="G57" s="3" t="s">
        <v>653</v>
      </c>
      <c r="H57" s="3" t="s">
        <v>654</v>
      </c>
      <c r="I57" s="3" t="s">
        <v>655</v>
      </c>
      <c r="J57" s="3" t="s">
        <v>656</v>
      </c>
      <c r="K57" s="3" t="s">
        <v>657</v>
      </c>
      <c r="L57" s="3" t="s">
        <v>658</v>
      </c>
      <c r="M57" s="3" t="s">
        <v>659</v>
      </c>
      <c r="N57" s="4"/>
      <c r="O57" s="4"/>
      <c r="P57" s="4"/>
      <c r="Q57" s="4"/>
      <c r="R57" s="4"/>
      <c r="S57" s="4"/>
      <c r="T57" s="4"/>
      <c r="U57" s="4"/>
      <c r="V57" s="4"/>
      <c r="W57" s="4"/>
      <c r="X57" s="4"/>
      <c r="Y57" s="4"/>
      <c r="Z57" s="4"/>
      <c r="AA57" s="4"/>
      <c r="AB57" s="4"/>
      <c r="AC57" s="4"/>
      <c r="AD57" s="4"/>
    </row>
    <row r="58">
      <c r="A58" s="3"/>
      <c r="B58" s="3"/>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88"/>
    <col customWidth="1" min="2" max="2" width="40.0"/>
    <col customWidth="1" min="3" max="3" width="39.5"/>
    <col customWidth="1" min="4" max="4" width="19.88"/>
  </cols>
  <sheetData>
    <row r="1">
      <c r="A1" s="1" t="s">
        <v>0</v>
      </c>
      <c r="B1" s="1" t="s">
        <v>1</v>
      </c>
      <c r="C1" s="1" t="s">
        <v>660</v>
      </c>
      <c r="D1" s="1" t="s">
        <v>661</v>
      </c>
      <c r="E1" s="4"/>
      <c r="F1" s="4"/>
      <c r="G1" s="4"/>
      <c r="H1" s="4"/>
      <c r="I1" s="4"/>
      <c r="J1" s="4"/>
      <c r="K1" s="4"/>
      <c r="L1" s="4"/>
      <c r="M1" s="4"/>
      <c r="N1" s="4"/>
      <c r="O1" s="4"/>
      <c r="P1" s="4"/>
      <c r="Q1" s="4"/>
      <c r="R1" s="4"/>
      <c r="S1" s="4"/>
      <c r="T1" s="4"/>
      <c r="U1" s="4"/>
      <c r="V1" s="4"/>
      <c r="W1" s="4"/>
      <c r="X1" s="4"/>
      <c r="Y1" s="4"/>
      <c r="Z1" s="4"/>
    </row>
    <row r="2">
      <c r="A2" s="3" t="s">
        <v>662</v>
      </c>
      <c r="B2" s="3" t="s">
        <v>663</v>
      </c>
      <c r="C2" s="3" t="s">
        <v>664</v>
      </c>
      <c r="D2" s="3" t="s">
        <v>665</v>
      </c>
      <c r="E2" s="4"/>
      <c r="F2" s="4"/>
      <c r="G2" s="4"/>
      <c r="H2" s="4"/>
      <c r="I2" s="4"/>
      <c r="J2" s="4"/>
      <c r="K2" s="4"/>
      <c r="L2" s="4"/>
      <c r="M2" s="4"/>
      <c r="N2" s="4"/>
      <c r="O2" s="4"/>
      <c r="P2" s="4"/>
      <c r="Q2" s="4"/>
      <c r="R2" s="4"/>
      <c r="S2" s="4"/>
      <c r="T2" s="4"/>
      <c r="U2" s="4"/>
      <c r="V2" s="4"/>
      <c r="W2" s="4"/>
      <c r="X2" s="4"/>
      <c r="Y2" s="4"/>
      <c r="Z2" s="4"/>
    </row>
    <row r="3">
      <c r="A3" s="3" t="s">
        <v>666</v>
      </c>
      <c r="B3" s="3" t="s">
        <v>667</v>
      </c>
      <c r="C3" s="3" t="s">
        <v>668</v>
      </c>
      <c r="D3" s="3" t="s">
        <v>669</v>
      </c>
      <c r="E3" s="4"/>
      <c r="F3" s="4"/>
      <c r="G3" s="4"/>
      <c r="H3" s="4"/>
      <c r="I3" s="4"/>
      <c r="J3" s="4"/>
      <c r="K3" s="4"/>
      <c r="L3" s="4"/>
      <c r="M3" s="4"/>
      <c r="N3" s="4"/>
      <c r="O3" s="4"/>
      <c r="P3" s="4"/>
      <c r="Q3" s="4"/>
      <c r="R3" s="4"/>
      <c r="S3" s="4"/>
      <c r="T3" s="4"/>
      <c r="U3" s="4"/>
      <c r="V3" s="4"/>
      <c r="W3" s="4"/>
      <c r="X3" s="4"/>
      <c r="Y3" s="4"/>
      <c r="Z3" s="4"/>
    </row>
    <row r="4">
      <c r="A4" s="3" t="s">
        <v>670</v>
      </c>
      <c r="B4" s="3" t="s">
        <v>671</v>
      </c>
      <c r="C4" s="3" t="s">
        <v>672</v>
      </c>
      <c r="D4" s="3" t="s">
        <v>665</v>
      </c>
      <c r="E4" s="4"/>
      <c r="F4" s="4"/>
      <c r="G4" s="4"/>
      <c r="H4" s="4"/>
      <c r="I4" s="4"/>
      <c r="J4" s="4"/>
      <c r="K4" s="4"/>
      <c r="L4" s="4"/>
      <c r="M4" s="4"/>
      <c r="N4" s="4"/>
      <c r="O4" s="4"/>
      <c r="P4" s="4"/>
      <c r="Q4" s="4"/>
      <c r="R4" s="4"/>
      <c r="S4" s="4"/>
      <c r="T4" s="4"/>
      <c r="U4" s="4"/>
      <c r="V4" s="4"/>
      <c r="W4" s="4"/>
      <c r="X4" s="4"/>
      <c r="Y4" s="4"/>
      <c r="Z4" s="4"/>
    </row>
    <row r="5">
      <c r="A5" s="3" t="s">
        <v>673</v>
      </c>
      <c r="B5" s="3" t="s">
        <v>674</v>
      </c>
      <c r="C5" s="3" t="s">
        <v>664</v>
      </c>
      <c r="D5" s="3" t="s">
        <v>665</v>
      </c>
      <c r="E5" s="4"/>
      <c r="F5" s="4"/>
      <c r="G5" s="4"/>
      <c r="H5" s="4"/>
      <c r="I5" s="4"/>
      <c r="J5" s="4"/>
      <c r="K5" s="4"/>
      <c r="L5" s="4"/>
      <c r="M5" s="4"/>
      <c r="N5" s="4"/>
      <c r="O5" s="4"/>
      <c r="P5" s="4"/>
      <c r="Q5" s="4"/>
      <c r="R5" s="4"/>
      <c r="S5" s="4"/>
      <c r="T5" s="4"/>
      <c r="U5" s="4"/>
      <c r="V5" s="4"/>
      <c r="W5" s="4"/>
      <c r="X5" s="4"/>
      <c r="Y5" s="4"/>
      <c r="Z5" s="4"/>
    </row>
    <row r="6">
      <c r="A6" s="3" t="s">
        <v>675</v>
      </c>
      <c r="B6" s="3" t="s">
        <v>676</v>
      </c>
      <c r="C6" s="3" t="s">
        <v>677</v>
      </c>
      <c r="D6" s="3" t="s">
        <v>665</v>
      </c>
      <c r="E6" s="4"/>
      <c r="F6" s="4"/>
      <c r="G6" s="4"/>
      <c r="H6" s="4"/>
      <c r="I6" s="4"/>
      <c r="J6" s="4"/>
      <c r="K6" s="4"/>
      <c r="L6" s="4"/>
      <c r="M6" s="4"/>
      <c r="N6" s="4"/>
      <c r="O6" s="4"/>
      <c r="P6" s="4"/>
      <c r="Q6" s="4"/>
      <c r="R6" s="4"/>
      <c r="S6" s="4"/>
      <c r="T6" s="4"/>
      <c r="U6" s="4"/>
      <c r="V6" s="4"/>
      <c r="W6" s="4"/>
      <c r="X6" s="4"/>
      <c r="Y6" s="4"/>
      <c r="Z6" s="4"/>
    </row>
    <row r="7">
      <c r="A7" s="3" t="s">
        <v>678</v>
      </c>
      <c r="B7" s="3" t="s">
        <v>679</v>
      </c>
      <c r="C7" s="3" t="s">
        <v>680</v>
      </c>
      <c r="D7" s="3" t="s">
        <v>669</v>
      </c>
      <c r="E7" s="4"/>
      <c r="F7" s="4"/>
      <c r="G7" s="4"/>
      <c r="H7" s="4"/>
      <c r="I7" s="4"/>
      <c r="J7" s="4"/>
      <c r="K7" s="4"/>
      <c r="L7" s="4"/>
      <c r="M7" s="4"/>
      <c r="N7" s="4"/>
      <c r="O7" s="4"/>
      <c r="P7" s="4"/>
      <c r="Q7" s="4"/>
      <c r="R7" s="4"/>
      <c r="S7" s="4"/>
      <c r="T7" s="4"/>
      <c r="U7" s="4"/>
      <c r="V7" s="4"/>
      <c r="W7" s="4"/>
      <c r="X7" s="4"/>
      <c r="Y7" s="4"/>
      <c r="Z7" s="4"/>
    </row>
    <row r="8">
      <c r="A8" s="3" t="s">
        <v>681</v>
      </c>
      <c r="B8" s="3" t="s">
        <v>682</v>
      </c>
      <c r="C8" s="3" t="s">
        <v>683</v>
      </c>
      <c r="D8" s="3" t="s">
        <v>669</v>
      </c>
      <c r="E8" s="4"/>
      <c r="F8" s="4"/>
      <c r="G8" s="4"/>
      <c r="H8" s="4"/>
      <c r="I8" s="4"/>
      <c r="J8" s="4"/>
      <c r="K8" s="4"/>
      <c r="L8" s="4"/>
      <c r="M8" s="4"/>
      <c r="N8" s="4"/>
      <c r="O8" s="4"/>
      <c r="P8" s="4"/>
      <c r="Q8" s="4"/>
      <c r="R8" s="4"/>
      <c r="S8" s="4"/>
      <c r="T8" s="4"/>
      <c r="U8" s="4"/>
      <c r="V8" s="4"/>
      <c r="W8" s="4"/>
      <c r="X8" s="4"/>
      <c r="Y8" s="4"/>
      <c r="Z8" s="4"/>
    </row>
    <row r="9">
      <c r="A9" s="3" t="s">
        <v>684</v>
      </c>
      <c r="B9" s="3" t="s">
        <v>685</v>
      </c>
      <c r="C9" s="3" t="s">
        <v>686</v>
      </c>
      <c r="D9" s="3" t="s">
        <v>665</v>
      </c>
      <c r="E9" s="4"/>
      <c r="F9" s="4"/>
      <c r="G9" s="4"/>
      <c r="H9" s="4"/>
      <c r="I9" s="4"/>
      <c r="J9" s="4"/>
      <c r="K9" s="4"/>
      <c r="L9" s="4"/>
      <c r="M9" s="4"/>
      <c r="N9" s="4"/>
      <c r="O9" s="4"/>
      <c r="P9" s="4"/>
      <c r="Q9" s="4"/>
      <c r="R9" s="4"/>
      <c r="S9" s="4"/>
      <c r="T9" s="4"/>
      <c r="U9" s="4"/>
      <c r="V9" s="4"/>
      <c r="W9" s="4"/>
      <c r="X9" s="4"/>
      <c r="Y9" s="4"/>
      <c r="Z9" s="4"/>
    </row>
    <row r="10">
      <c r="A10" s="3" t="s">
        <v>687</v>
      </c>
      <c r="B10" s="3" t="s">
        <v>688</v>
      </c>
      <c r="C10" s="3" t="s">
        <v>664</v>
      </c>
      <c r="D10" s="3" t="s">
        <v>669</v>
      </c>
      <c r="E10" s="4"/>
      <c r="F10" s="4"/>
      <c r="G10" s="4"/>
      <c r="H10" s="4"/>
      <c r="I10" s="4"/>
      <c r="J10" s="4"/>
      <c r="K10" s="4"/>
      <c r="L10" s="4"/>
      <c r="M10" s="4"/>
      <c r="N10" s="4"/>
      <c r="O10" s="4"/>
      <c r="P10" s="4"/>
      <c r="Q10" s="4"/>
      <c r="R10" s="4"/>
      <c r="S10" s="4"/>
      <c r="T10" s="4"/>
      <c r="U10" s="4"/>
      <c r="V10" s="4"/>
      <c r="W10" s="4"/>
      <c r="X10" s="4"/>
      <c r="Y10" s="4"/>
      <c r="Z10" s="4"/>
    </row>
    <row r="11">
      <c r="A11" s="3" t="s">
        <v>689</v>
      </c>
      <c r="B11" s="3" t="s">
        <v>690</v>
      </c>
      <c r="C11" s="3" t="s">
        <v>664</v>
      </c>
      <c r="D11" s="3" t="s">
        <v>665</v>
      </c>
      <c r="E11" s="4"/>
      <c r="F11" s="4"/>
      <c r="G11" s="4"/>
      <c r="H11" s="4"/>
      <c r="I11" s="4"/>
      <c r="J11" s="4"/>
      <c r="K11" s="4"/>
      <c r="L11" s="4"/>
      <c r="M11" s="4"/>
      <c r="N11" s="4"/>
      <c r="O11" s="4"/>
      <c r="P11" s="4"/>
      <c r="Q11" s="4"/>
      <c r="R11" s="4"/>
      <c r="S11" s="4"/>
      <c r="T11" s="4"/>
      <c r="U11" s="4"/>
      <c r="V11" s="4"/>
      <c r="W11" s="4"/>
      <c r="X11" s="4"/>
      <c r="Y11" s="4"/>
      <c r="Z11" s="4"/>
    </row>
    <row r="12">
      <c r="A12" s="3" t="s">
        <v>691</v>
      </c>
      <c r="B12" s="3" t="s">
        <v>692</v>
      </c>
      <c r="C12" s="3" t="s">
        <v>677</v>
      </c>
      <c r="D12" s="3" t="s">
        <v>665</v>
      </c>
      <c r="E12" s="4"/>
      <c r="F12" s="4"/>
      <c r="G12" s="4"/>
      <c r="H12" s="4"/>
      <c r="I12" s="4"/>
      <c r="J12" s="4"/>
      <c r="K12" s="4"/>
      <c r="L12" s="4"/>
      <c r="M12" s="4"/>
      <c r="N12" s="4"/>
      <c r="O12" s="4"/>
      <c r="P12" s="4"/>
      <c r="Q12" s="4"/>
      <c r="R12" s="4"/>
      <c r="S12" s="4"/>
      <c r="T12" s="4"/>
      <c r="U12" s="4"/>
      <c r="V12" s="4"/>
      <c r="W12" s="4"/>
      <c r="X12" s="4"/>
      <c r="Y12" s="4"/>
      <c r="Z12" s="4"/>
    </row>
    <row r="13">
      <c r="A13" s="3" t="s">
        <v>693</v>
      </c>
      <c r="B13" s="3" t="s">
        <v>694</v>
      </c>
      <c r="C13" s="3" t="s">
        <v>668</v>
      </c>
      <c r="D13" s="3" t="s">
        <v>669</v>
      </c>
      <c r="E13" s="4"/>
      <c r="F13" s="4"/>
      <c r="G13" s="4"/>
      <c r="H13" s="4"/>
      <c r="I13" s="4"/>
      <c r="J13" s="4"/>
      <c r="K13" s="4"/>
      <c r="L13" s="4"/>
      <c r="M13" s="4"/>
      <c r="N13" s="4"/>
      <c r="O13" s="4"/>
      <c r="P13" s="4"/>
      <c r="Q13" s="4"/>
      <c r="R13" s="4"/>
      <c r="S13" s="4"/>
      <c r="T13" s="4"/>
      <c r="U13" s="4"/>
      <c r="V13" s="4"/>
      <c r="W13" s="4"/>
      <c r="X13" s="4"/>
      <c r="Y13" s="4"/>
      <c r="Z13" s="4"/>
    </row>
    <row r="14">
      <c r="A14" s="3" t="s">
        <v>695</v>
      </c>
      <c r="B14" s="3" t="s">
        <v>696</v>
      </c>
      <c r="C14" s="3" t="s">
        <v>697</v>
      </c>
      <c r="D14" s="3" t="s">
        <v>669</v>
      </c>
      <c r="E14" s="4"/>
      <c r="F14" s="4"/>
      <c r="G14" s="4"/>
      <c r="H14" s="4"/>
      <c r="I14" s="4"/>
      <c r="J14" s="4"/>
      <c r="K14" s="4"/>
      <c r="L14" s="4"/>
      <c r="M14" s="4"/>
      <c r="N14" s="4"/>
      <c r="O14" s="4"/>
      <c r="P14" s="4"/>
      <c r="Q14" s="4"/>
      <c r="R14" s="4"/>
      <c r="S14" s="4"/>
      <c r="T14" s="4"/>
      <c r="U14" s="4"/>
      <c r="V14" s="4"/>
      <c r="W14" s="4"/>
      <c r="X14" s="4"/>
      <c r="Y14" s="4"/>
      <c r="Z14" s="4"/>
    </row>
    <row r="15">
      <c r="A15" s="3" t="s">
        <v>698</v>
      </c>
      <c r="B15" s="3" t="s">
        <v>699</v>
      </c>
      <c r="C15" s="3" t="s">
        <v>677</v>
      </c>
      <c r="D15" s="3" t="s">
        <v>665</v>
      </c>
      <c r="E15" s="4"/>
      <c r="F15" s="4"/>
      <c r="G15" s="4"/>
      <c r="H15" s="4"/>
      <c r="I15" s="4"/>
      <c r="J15" s="4"/>
      <c r="K15" s="4"/>
      <c r="L15" s="4"/>
      <c r="M15" s="4"/>
      <c r="N15" s="4"/>
      <c r="O15" s="4"/>
      <c r="P15" s="4"/>
      <c r="Q15" s="4"/>
      <c r="R15" s="4"/>
      <c r="S15" s="4"/>
      <c r="T15" s="4"/>
      <c r="U15" s="4"/>
      <c r="V15" s="4"/>
      <c r="W15" s="4"/>
      <c r="X15" s="4"/>
      <c r="Y15" s="4"/>
      <c r="Z15" s="4"/>
    </row>
    <row r="16">
      <c r="A16" s="3" t="s">
        <v>700</v>
      </c>
      <c r="B16" s="3" t="s">
        <v>701</v>
      </c>
      <c r="C16" s="3" t="s">
        <v>686</v>
      </c>
      <c r="D16" s="3" t="s">
        <v>665</v>
      </c>
      <c r="E16" s="4"/>
      <c r="F16" s="4"/>
      <c r="G16" s="4"/>
      <c r="H16" s="4"/>
      <c r="I16" s="4"/>
      <c r="J16" s="4"/>
      <c r="K16" s="4"/>
      <c r="L16" s="4"/>
      <c r="M16" s="4"/>
      <c r="N16" s="4"/>
      <c r="O16" s="4"/>
      <c r="P16" s="4"/>
      <c r="Q16" s="4"/>
      <c r="R16" s="4"/>
      <c r="S16" s="4"/>
      <c r="T16" s="4"/>
      <c r="U16" s="4"/>
      <c r="V16" s="4"/>
      <c r="W16" s="4"/>
      <c r="X16" s="4"/>
      <c r="Y16" s="4"/>
      <c r="Z16" s="4"/>
    </row>
    <row r="17">
      <c r="A17" s="3" t="s">
        <v>702</v>
      </c>
      <c r="B17" s="3" t="s">
        <v>703</v>
      </c>
      <c r="C17" s="3" t="s">
        <v>697</v>
      </c>
      <c r="D17" s="3" t="s">
        <v>669</v>
      </c>
      <c r="E17" s="4"/>
      <c r="F17" s="4"/>
      <c r="G17" s="4"/>
      <c r="H17" s="4"/>
      <c r="I17" s="4"/>
      <c r="J17" s="4"/>
      <c r="K17" s="4"/>
      <c r="L17" s="4"/>
      <c r="M17" s="4"/>
      <c r="N17" s="4"/>
      <c r="O17" s="4"/>
      <c r="P17" s="4"/>
      <c r="Q17" s="4"/>
      <c r="R17" s="4"/>
      <c r="S17" s="4"/>
      <c r="T17" s="4"/>
      <c r="U17" s="4"/>
      <c r="V17" s="4"/>
      <c r="W17" s="4"/>
      <c r="X17" s="4"/>
      <c r="Y17" s="4"/>
      <c r="Z17" s="4"/>
    </row>
    <row r="18">
      <c r="A18" s="3" t="s">
        <v>704</v>
      </c>
      <c r="B18" s="3" t="s">
        <v>705</v>
      </c>
      <c r="C18" s="3" t="s">
        <v>706</v>
      </c>
      <c r="D18" s="3" t="s">
        <v>669</v>
      </c>
      <c r="E18" s="4"/>
      <c r="F18" s="4"/>
      <c r="G18" s="4"/>
      <c r="H18" s="4"/>
      <c r="I18" s="4"/>
      <c r="J18" s="4"/>
      <c r="K18" s="4"/>
      <c r="L18" s="4"/>
      <c r="M18" s="4"/>
      <c r="N18" s="4"/>
      <c r="O18" s="4"/>
      <c r="P18" s="4"/>
      <c r="Q18" s="4"/>
      <c r="R18" s="4"/>
      <c r="S18" s="4"/>
      <c r="T18" s="4"/>
      <c r="U18" s="4"/>
      <c r="V18" s="4"/>
      <c r="W18" s="4"/>
      <c r="X18" s="4"/>
      <c r="Y18" s="4"/>
      <c r="Z18" s="4"/>
    </row>
    <row r="19">
      <c r="A19" s="3" t="s">
        <v>707</v>
      </c>
      <c r="B19" s="3" t="s">
        <v>708</v>
      </c>
      <c r="C19" s="3" t="s">
        <v>677</v>
      </c>
      <c r="D19" s="3" t="s">
        <v>665</v>
      </c>
      <c r="E19" s="4"/>
      <c r="F19" s="4"/>
      <c r="G19" s="4"/>
      <c r="H19" s="4"/>
      <c r="I19" s="4"/>
      <c r="J19" s="4"/>
      <c r="K19" s="4"/>
      <c r="L19" s="4"/>
      <c r="M19" s="4"/>
      <c r="N19" s="4"/>
      <c r="O19" s="4"/>
      <c r="P19" s="4"/>
      <c r="Q19" s="4"/>
      <c r="R19" s="4"/>
      <c r="S19" s="4"/>
      <c r="T19" s="4"/>
      <c r="U19" s="4"/>
      <c r="V19" s="4"/>
      <c r="W19" s="4"/>
      <c r="X19" s="4"/>
      <c r="Y19" s="4"/>
      <c r="Z19" s="4"/>
    </row>
    <row r="20">
      <c r="A20" s="3" t="s">
        <v>709</v>
      </c>
      <c r="B20" s="3" t="s">
        <v>710</v>
      </c>
      <c r="C20" s="3" t="s">
        <v>664</v>
      </c>
      <c r="D20" s="3" t="s">
        <v>665</v>
      </c>
      <c r="E20" s="4"/>
      <c r="F20" s="4"/>
      <c r="G20" s="4"/>
      <c r="H20" s="4"/>
      <c r="I20" s="4"/>
      <c r="J20" s="4"/>
      <c r="K20" s="4"/>
      <c r="L20" s="4"/>
      <c r="M20" s="4"/>
      <c r="N20" s="4"/>
      <c r="O20" s="4"/>
      <c r="P20" s="4"/>
      <c r="Q20" s="4"/>
      <c r="R20" s="4"/>
      <c r="S20" s="4"/>
      <c r="T20" s="4"/>
      <c r="U20" s="4"/>
      <c r="V20" s="4"/>
      <c r="W20" s="4"/>
      <c r="X20" s="4"/>
      <c r="Y20" s="4"/>
      <c r="Z20" s="4"/>
    </row>
    <row r="21">
      <c r="A21" s="3" t="s">
        <v>711</v>
      </c>
      <c r="B21" s="3" t="s">
        <v>712</v>
      </c>
      <c r="C21" s="3" t="s">
        <v>697</v>
      </c>
      <c r="D21" s="3" t="s">
        <v>669</v>
      </c>
      <c r="E21" s="4"/>
      <c r="F21" s="4"/>
      <c r="G21" s="4"/>
      <c r="H21" s="4"/>
      <c r="I21" s="4"/>
      <c r="J21" s="4"/>
      <c r="K21" s="4"/>
      <c r="L21" s="4"/>
      <c r="M21" s="4"/>
      <c r="N21" s="4"/>
      <c r="O21" s="4"/>
      <c r="P21" s="4"/>
      <c r="Q21" s="4"/>
      <c r="R21" s="4"/>
      <c r="S21" s="4"/>
      <c r="T21" s="4"/>
      <c r="U21" s="4"/>
      <c r="V21" s="4"/>
      <c r="W21" s="4"/>
      <c r="X21" s="4"/>
      <c r="Y21" s="4"/>
      <c r="Z21" s="4"/>
    </row>
    <row r="22">
      <c r="A22" s="3" t="s">
        <v>713</v>
      </c>
      <c r="B22" s="3" t="s">
        <v>714</v>
      </c>
      <c r="C22" s="3" t="s">
        <v>677</v>
      </c>
      <c r="D22" s="3" t="s">
        <v>665</v>
      </c>
      <c r="E22" s="4"/>
      <c r="F22" s="4"/>
      <c r="G22" s="4"/>
      <c r="H22" s="4"/>
      <c r="I22" s="4"/>
      <c r="J22" s="4"/>
      <c r="K22" s="4"/>
      <c r="L22" s="4"/>
      <c r="M22" s="4"/>
      <c r="N22" s="4"/>
      <c r="O22" s="4"/>
      <c r="P22" s="4"/>
      <c r="Q22" s="4"/>
      <c r="R22" s="4"/>
      <c r="S22" s="4"/>
      <c r="T22" s="4"/>
      <c r="U22" s="4"/>
      <c r="V22" s="4"/>
      <c r="W22" s="4"/>
      <c r="X22" s="4"/>
      <c r="Y22" s="4"/>
      <c r="Z22" s="4"/>
    </row>
    <row r="23">
      <c r="A23" s="3" t="s">
        <v>715</v>
      </c>
      <c r="B23" s="3" t="s">
        <v>716</v>
      </c>
      <c r="C23" s="3" t="s">
        <v>717</v>
      </c>
      <c r="D23" s="3" t="s">
        <v>669</v>
      </c>
      <c r="E23" s="4"/>
      <c r="F23" s="4"/>
      <c r="G23" s="4"/>
      <c r="H23" s="4"/>
      <c r="I23" s="4"/>
      <c r="J23" s="4"/>
      <c r="K23" s="4"/>
      <c r="L23" s="4"/>
      <c r="M23" s="4"/>
      <c r="N23" s="4"/>
      <c r="O23" s="4"/>
      <c r="P23" s="4"/>
      <c r="Q23" s="4"/>
      <c r="R23" s="4"/>
      <c r="S23" s="4"/>
      <c r="T23" s="4"/>
      <c r="U23" s="4"/>
      <c r="V23" s="4"/>
      <c r="W23" s="4"/>
      <c r="X23" s="4"/>
      <c r="Y23" s="4"/>
      <c r="Z23" s="4"/>
    </row>
    <row r="24">
      <c r="A24" s="3" t="s">
        <v>718</v>
      </c>
      <c r="B24" s="3" t="s">
        <v>719</v>
      </c>
      <c r="C24" s="3" t="s">
        <v>664</v>
      </c>
      <c r="D24" s="3" t="s">
        <v>665</v>
      </c>
      <c r="E24" s="4"/>
      <c r="F24" s="4"/>
      <c r="G24" s="4"/>
      <c r="H24" s="4"/>
      <c r="I24" s="4"/>
      <c r="J24" s="4"/>
      <c r="K24" s="4"/>
      <c r="L24" s="4"/>
      <c r="M24" s="4"/>
      <c r="N24" s="4"/>
      <c r="O24" s="4"/>
      <c r="P24" s="4"/>
      <c r="Q24" s="4"/>
      <c r="R24" s="4"/>
      <c r="S24" s="4"/>
      <c r="T24" s="4"/>
      <c r="U24" s="4"/>
      <c r="V24" s="4"/>
      <c r="W24" s="4"/>
      <c r="X24" s="4"/>
      <c r="Y24" s="4"/>
      <c r="Z24" s="4"/>
    </row>
    <row r="25">
      <c r="A25" s="3" t="s">
        <v>720</v>
      </c>
      <c r="B25" s="3" t="s">
        <v>721</v>
      </c>
      <c r="C25" s="3" t="s">
        <v>722</v>
      </c>
      <c r="D25" s="3" t="s">
        <v>669</v>
      </c>
      <c r="E25" s="4"/>
      <c r="F25" s="4"/>
      <c r="G25" s="4"/>
      <c r="H25" s="4"/>
      <c r="I25" s="4"/>
      <c r="J25" s="4"/>
      <c r="K25" s="4"/>
      <c r="L25" s="4"/>
      <c r="M25" s="4"/>
      <c r="N25" s="4"/>
      <c r="O25" s="4"/>
      <c r="P25" s="4"/>
      <c r="Q25" s="4"/>
      <c r="R25" s="4"/>
      <c r="S25" s="4"/>
      <c r="T25" s="4"/>
      <c r="U25" s="4"/>
      <c r="V25" s="4"/>
      <c r="W25" s="4"/>
      <c r="X25" s="4"/>
      <c r="Y25" s="4"/>
      <c r="Z25" s="4"/>
    </row>
    <row r="26">
      <c r="A26" s="3" t="s">
        <v>723</v>
      </c>
      <c r="B26" s="3" t="s">
        <v>724</v>
      </c>
      <c r="C26" s="3" t="s">
        <v>697</v>
      </c>
      <c r="D26" s="3" t="s">
        <v>669</v>
      </c>
      <c r="E26" s="4"/>
      <c r="F26" s="4"/>
      <c r="G26" s="4"/>
      <c r="H26" s="4"/>
      <c r="I26" s="4"/>
      <c r="J26" s="4"/>
      <c r="K26" s="4"/>
      <c r="L26" s="4"/>
      <c r="M26" s="4"/>
      <c r="N26" s="4"/>
      <c r="O26" s="4"/>
      <c r="P26" s="4"/>
      <c r="Q26" s="4"/>
      <c r="R26" s="4"/>
      <c r="S26" s="4"/>
      <c r="T26" s="4"/>
      <c r="U26" s="4"/>
      <c r="V26" s="4"/>
      <c r="W26" s="4"/>
      <c r="X26" s="4"/>
      <c r="Y26" s="4"/>
      <c r="Z26" s="4"/>
    </row>
    <row r="27">
      <c r="A27" s="3" t="s">
        <v>725</v>
      </c>
      <c r="B27" s="3" t="s">
        <v>144</v>
      </c>
      <c r="C27" s="3" t="s">
        <v>722</v>
      </c>
      <c r="D27" s="3" t="s">
        <v>669</v>
      </c>
      <c r="E27" s="4"/>
      <c r="F27" s="4"/>
      <c r="G27" s="4"/>
      <c r="H27" s="4"/>
      <c r="I27" s="4"/>
      <c r="J27" s="4"/>
      <c r="K27" s="4"/>
      <c r="L27" s="4"/>
      <c r="M27" s="4"/>
      <c r="N27" s="4"/>
      <c r="O27" s="4"/>
      <c r="P27" s="4"/>
      <c r="Q27" s="4"/>
      <c r="R27" s="4"/>
      <c r="S27" s="4"/>
      <c r="T27" s="4"/>
      <c r="U27" s="4"/>
      <c r="V27" s="4"/>
      <c r="W27" s="4"/>
      <c r="X27" s="4"/>
      <c r="Y27" s="4"/>
      <c r="Z27" s="4"/>
    </row>
    <row r="28">
      <c r="A28" s="3" t="s">
        <v>726</v>
      </c>
      <c r="B28" s="3" t="s">
        <v>727</v>
      </c>
      <c r="C28" s="3" t="s">
        <v>683</v>
      </c>
      <c r="D28" s="3" t="s">
        <v>669</v>
      </c>
      <c r="E28" s="4"/>
      <c r="F28" s="4"/>
      <c r="G28" s="4"/>
      <c r="H28" s="4"/>
      <c r="I28" s="4"/>
      <c r="J28" s="4"/>
      <c r="K28" s="4"/>
      <c r="L28" s="4"/>
      <c r="M28" s="4"/>
      <c r="N28" s="4"/>
      <c r="O28" s="4"/>
      <c r="P28" s="4"/>
      <c r="Q28" s="4"/>
      <c r="R28" s="4"/>
      <c r="S28" s="4"/>
      <c r="T28" s="4"/>
      <c r="U28" s="4"/>
      <c r="V28" s="4"/>
      <c r="W28" s="4"/>
      <c r="X28" s="4"/>
      <c r="Y28" s="4"/>
      <c r="Z28" s="4"/>
    </row>
    <row r="29">
      <c r="A29" s="3" t="s">
        <v>728</v>
      </c>
      <c r="B29" s="3" t="s">
        <v>729</v>
      </c>
      <c r="C29" s="3" t="s">
        <v>730</v>
      </c>
      <c r="D29" s="3" t="s">
        <v>669</v>
      </c>
      <c r="E29" s="4"/>
      <c r="F29" s="4"/>
      <c r="G29" s="4"/>
      <c r="H29" s="4"/>
      <c r="I29" s="4"/>
      <c r="J29" s="4"/>
      <c r="K29" s="4"/>
      <c r="L29" s="4"/>
      <c r="M29" s="4"/>
      <c r="N29" s="4"/>
      <c r="O29" s="4"/>
      <c r="P29" s="4"/>
      <c r="Q29" s="4"/>
      <c r="R29" s="4"/>
      <c r="S29" s="4"/>
      <c r="T29" s="4"/>
      <c r="U29" s="4"/>
      <c r="V29" s="4"/>
      <c r="W29" s="4"/>
      <c r="X29" s="4"/>
      <c r="Y29" s="4"/>
      <c r="Z29" s="4"/>
    </row>
    <row r="30">
      <c r="A30" s="3" t="s">
        <v>731</v>
      </c>
      <c r="B30" s="3" t="s">
        <v>732</v>
      </c>
      <c r="C30" s="3" t="s">
        <v>664</v>
      </c>
      <c r="D30" s="3" t="s">
        <v>669</v>
      </c>
      <c r="E30" s="4"/>
      <c r="F30" s="4"/>
      <c r="G30" s="4"/>
      <c r="H30" s="4"/>
      <c r="I30" s="4"/>
      <c r="J30" s="4"/>
      <c r="K30" s="4"/>
      <c r="L30" s="4"/>
      <c r="M30" s="4"/>
      <c r="N30" s="4"/>
      <c r="O30" s="4"/>
      <c r="P30" s="4"/>
      <c r="Q30" s="4"/>
      <c r="R30" s="4"/>
      <c r="S30" s="4"/>
      <c r="T30" s="4"/>
      <c r="U30" s="4"/>
      <c r="V30" s="4"/>
      <c r="W30" s="4"/>
      <c r="X30" s="4"/>
      <c r="Y30" s="4"/>
      <c r="Z30" s="4"/>
    </row>
    <row r="31">
      <c r="A31" s="3" t="s">
        <v>733</v>
      </c>
      <c r="B31" s="3" t="s">
        <v>734</v>
      </c>
      <c r="C31" s="3" t="s">
        <v>706</v>
      </c>
      <c r="D31" s="3" t="s">
        <v>669</v>
      </c>
      <c r="E31" s="4"/>
      <c r="F31" s="4"/>
      <c r="G31" s="4"/>
      <c r="H31" s="4"/>
      <c r="I31" s="4"/>
      <c r="J31" s="4"/>
      <c r="K31" s="4"/>
      <c r="L31" s="4"/>
      <c r="M31" s="4"/>
      <c r="N31" s="4"/>
      <c r="O31" s="4"/>
      <c r="P31" s="4"/>
      <c r="Q31" s="4"/>
      <c r="R31" s="4"/>
      <c r="S31" s="4"/>
      <c r="T31" s="4"/>
      <c r="U31" s="4"/>
      <c r="V31" s="4"/>
      <c r="W31" s="4"/>
      <c r="X31" s="4"/>
      <c r="Y31" s="4"/>
      <c r="Z31" s="4"/>
    </row>
    <row r="32">
      <c r="A32" s="3" t="s">
        <v>735</v>
      </c>
      <c r="B32" s="3" t="s">
        <v>736</v>
      </c>
      <c r="C32" s="3" t="s">
        <v>697</v>
      </c>
      <c r="D32" s="3" t="s">
        <v>669</v>
      </c>
      <c r="E32" s="4"/>
      <c r="F32" s="4"/>
      <c r="G32" s="4"/>
      <c r="H32" s="4"/>
      <c r="I32" s="4"/>
      <c r="J32" s="4"/>
      <c r="K32" s="4"/>
      <c r="L32" s="4"/>
      <c r="M32" s="4"/>
      <c r="N32" s="4"/>
      <c r="O32" s="4"/>
      <c r="P32" s="4"/>
      <c r="Q32" s="4"/>
      <c r="R32" s="4"/>
      <c r="S32" s="4"/>
      <c r="T32" s="4"/>
      <c r="U32" s="4"/>
      <c r="V32" s="4"/>
      <c r="W32" s="4"/>
      <c r="X32" s="4"/>
      <c r="Y32" s="4"/>
      <c r="Z32" s="4"/>
    </row>
    <row r="33">
      <c r="A33" s="3" t="s">
        <v>737</v>
      </c>
      <c r="B33" s="3" t="s">
        <v>738</v>
      </c>
      <c r="C33" s="3" t="s">
        <v>697</v>
      </c>
      <c r="D33" s="3" t="s">
        <v>669</v>
      </c>
      <c r="E33" s="4"/>
      <c r="F33" s="4"/>
      <c r="G33" s="4"/>
      <c r="H33" s="4"/>
      <c r="I33" s="4"/>
      <c r="J33" s="4"/>
      <c r="K33" s="4"/>
      <c r="L33" s="4"/>
      <c r="M33" s="4"/>
      <c r="N33" s="4"/>
      <c r="O33" s="4"/>
      <c r="P33" s="4"/>
      <c r="Q33" s="4"/>
      <c r="R33" s="4"/>
      <c r="S33" s="4"/>
      <c r="T33" s="4"/>
      <c r="U33" s="4"/>
      <c r="V33" s="4"/>
      <c r="W33" s="4"/>
      <c r="X33" s="4"/>
      <c r="Y33" s="4"/>
      <c r="Z33" s="4"/>
    </row>
    <row r="34">
      <c r="A34" s="3" t="s">
        <v>739</v>
      </c>
      <c r="B34" s="3" t="s">
        <v>740</v>
      </c>
      <c r="C34" s="3" t="s">
        <v>680</v>
      </c>
      <c r="D34" s="3" t="s">
        <v>669</v>
      </c>
      <c r="E34" s="4"/>
      <c r="F34" s="4"/>
      <c r="G34" s="4"/>
      <c r="H34" s="4"/>
      <c r="I34" s="4"/>
      <c r="J34" s="4"/>
      <c r="K34" s="4"/>
      <c r="L34" s="4"/>
      <c r="M34" s="4"/>
      <c r="N34" s="4"/>
      <c r="O34" s="4"/>
      <c r="P34" s="4"/>
      <c r="Q34" s="4"/>
      <c r="R34" s="4"/>
      <c r="S34" s="4"/>
      <c r="T34" s="4"/>
      <c r="U34" s="4"/>
      <c r="V34" s="4"/>
      <c r="W34" s="4"/>
      <c r="X34" s="4"/>
      <c r="Y34" s="4"/>
      <c r="Z34" s="4"/>
    </row>
    <row r="35">
      <c r="A35" s="3" t="s">
        <v>741</v>
      </c>
      <c r="B35" s="3" t="s">
        <v>742</v>
      </c>
      <c r="C35" s="3" t="s">
        <v>677</v>
      </c>
      <c r="D35" s="3" t="s">
        <v>665</v>
      </c>
      <c r="E35" s="4"/>
      <c r="F35" s="4"/>
      <c r="G35" s="4"/>
      <c r="H35" s="4"/>
      <c r="I35" s="4"/>
      <c r="J35" s="4"/>
      <c r="K35" s="4"/>
      <c r="L35" s="4"/>
      <c r="M35" s="4"/>
      <c r="N35" s="4"/>
      <c r="O35" s="4"/>
      <c r="P35" s="4"/>
      <c r="Q35" s="4"/>
      <c r="R35" s="4"/>
      <c r="S35" s="4"/>
      <c r="T35" s="4"/>
      <c r="U35" s="4"/>
      <c r="V35" s="4"/>
      <c r="W35" s="4"/>
      <c r="X35" s="4"/>
      <c r="Y35" s="4"/>
      <c r="Z35" s="4"/>
    </row>
    <row r="36">
      <c r="A36" s="3" t="s">
        <v>743</v>
      </c>
      <c r="B36" s="3" t="s">
        <v>744</v>
      </c>
      <c r="C36" s="3" t="s">
        <v>745</v>
      </c>
      <c r="D36" s="3" t="s">
        <v>665</v>
      </c>
      <c r="E36" s="4"/>
      <c r="F36" s="4"/>
      <c r="G36" s="4"/>
      <c r="H36" s="4"/>
      <c r="I36" s="4"/>
      <c r="J36" s="4"/>
      <c r="K36" s="4"/>
      <c r="L36" s="4"/>
      <c r="M36" s="4"/>
      <c r="N36" s="4"/>
      <c r="O36" s="4"/>
      <c r="P36" s="4"/>
      <c r="Q36" s="4"/>
      <c r="R36" s="4"/>
      <c r="S36" s="4"/>
      <c r="T36" s="4"/>
      <c r="U36" s="4"/>
      <c r="V36" s="4"/>
      <c r="W36" s="4"/>
      <c r="X36" s="4"/>
      <c r="Y36" s="4"/>
      <c r="Z36" s="4"/>
    </row>
    <row r="37">
      <c r="A37" s="3" t="s">
        <v>746</v>
      </c>
      <c r="B37" s="3" t="s">
        <v>747</v>
      </c>
      <c r="C37" s="3" t="s">
        <v>664</v>
      </c>
      <c r="D37" s="3" t="s">
        <v>669</v>
      </c>
      <c r="E37" s="4"/>
      <c r="F37" s="4"/>
      <c r="G37" s="4"/>
      <c r="H37" s="4"/>
      <c r="I37" s="4"/>
      <c r="J37" s="4"/>
      <c r="K37" s="4"/>
      <c r="L37" s="4"/>
      <c r="M37" s="4"/>
      <c r="N37" s="4"/>
      <c r="O37" s="4"/>
      <c r="P37" s="4"/>
      <c r="Q37" s="4"/>
      <c r="R37" s="4"/>
      <c r="S37" s="4"/>
      <c r="T37" s="4"/>
      <c r="U37" s="4"/>
      <c r="V37" s="4"/>
      <c r="W37" s="4"/>
      <c r="X37" s="4"/>
      <c r="Y37" s="4"/>
      <c r="Z37" s="4"/>
    </row>
    <row r="38">
      <c r="A38" s="3" t="s">
        <v>748</v>
      </c>
      <c r="B38" s="3" t="s">
        <v>749</v>
      </c>
      <c r="C38" s="3" t="s">
        <v>672</v>
      </c>
      <c r="D38" s="3" t="s">
        <v>669</v>
      </c>
      <c r="E38" s="4"/>
      <c r="F38" s="4"/>
      <c r="G38" s="4"/>
      <c r="H38" s="4"/>
      <c r="I38" s="4"/>
      <c r="J38" s="4"/>
      <c r="K38" s="4"/>
      <c r="L38" s="4"/>
      <c r="M38" s="4"/>
      <c r="N38" s="4"/>
      <c r="O38" s="4"/>
      <c r="P38" s="4"/>
      <c r="Q38" s="4"/>
      <c r="R38" s="4"/>
      <c r="S38" s="4"/>
      <c r="T38" s="4"/>
      <c r="U38" s="4"/>
      <c r="V38" s="4"/>
      <c r="W38" s="4"/>
      <c r="X38" s="4"/>
      <c r="Y38" s="4"/>
      <c r="Z38" s="4"/>
    </row>
    <row r="39">
      <c r="A39" s="3" t="s">
        <v>750</v>
      </c>
      <c r="B39" s="3" t="s">
        <v>751</v>
      </c>
      <c r="C39" s="3" t="s">
        <v>672</v>
      </c>
      <c r="D39" s="3" t="s">
        <v>669</v>
      </c>
      <c r="E39" s="4"/>
      <c r="F39" s="4"/>
      <c r="G39" s="4"/>
      <c r="H39" s="4"/>
      <c r="I39" s="4"/>
      <c r="J39" s="4"/>
      <c r="K39" s="4"/>
      <c r="L39" s="4"/>
      <c r="M39" s="4"/>
      <c r="N39" s="4"/>
      <c r="O39" s="4"/>
      <c r="P39" s="4"/>
      <c r="Q39" s="4"/>
      <c r="R39" s="4"/>
      <c r="S39" s="4"/>
      <c r="T39" s="4"/>
      <c r="U39" s="4"/>
      <c r="V39" s="4"/>
      <c r="W39" s="4"/>
      <c r="X39" s="4"/>
      <c r="Y39" s="4"/>
      <c r="Z39" s="4"/>
    </row>
    <row r="40">
      <c r="A40" s="3" t="s">
        <v>752</v>
      </c>
      <c r="B40" s="3" t="s">
        <v>753</v>
      </c>
      <c r="C40" s="3" t="s">
        <v>683</v>
      </c>
      <c r="D40" s="3" t="s">
        <v>669</v>
      </c>
      <c r="E40" s="4"/>
      <c r="F40" s="4"/>
      <c r="G40" s="4"/>
      <c r="H40" s="4"/>
      <c r="I40" s="4"/>
      <c r="J40" s="4"/>
      <c r="K40" s="4"/>
      <c r="L40" s="4"/>
      <c r="M40" s="4"/>
      <c r="N40" s="4"/>
      <c r="O40" s="4"/>
      <c r="P40" s="4"/>
      <c r="Q40" s="4"/>
      <c r="R40" s="4"/>
      <c r="S40" s="4"/>
      <c r="T40" s="4"/>
      <c r="U40" s="4"/>
      <c r="V40" s="4"/>
      <c r="W40" s="4"/>
      <c r="X40" s="4"/>
      <c r="Y40" s="4"/>
      <c r="Z40" s="4"/>
    </row>
    <row r="41">
      <c r="A41" s="3" t="s">
        <v>754</v>
      </c>
      <c r="B41" s="3" t="s">
        <v>755</v>
      </c>
      <c r="C41" s="3" t="s">
        <v>668</v>
      </c>
      <c r="D41" s="3" t="s">
        <v>669</v>
      </c>
      <c r="E41" s="4"/>
      <c r="F41" s="4"/>
      <c r="G41" s="4"/>
      <c r="H41" s="4"/>
      <c r="I41" s="4"/>
      <c r="J41" s="4"/>
      <c r="K41" s="4"/>
      <c r="L41" s="4"/>
      <c r="M41" s="4"/>
      <c r="N41" s="4"/>
      <c r="O41" s="4"/>
      <c r="P41" s="4"/>
      <c r="Q41" s="4"/>
      <c r="R41" s="4"/>
      <c r="S41" s="4"/>
      <c r="T41" s="4"/>
      <c r="U41" s="4"/>
      <c r="V41" s="4"/>
      <c r="W41" s="4"/>
      <c r="X41" s="4"/>
      <c r="Y41" s="4"/>
      <c r="Z41" s="4"/>
    </row>
    <row r="42">
      <c r="A42" s="3" t="s">
        <v>754</v>
      </c>
      <c r="B42" s="3" t="s">
        <v>755</v>
      </c>
      <c r="C42" s="3" t="s">
        <v>668</v>
      </c>
      <c r="D42" s="3" t="s">
        <v>669</v>
      </c>
      <c r="E42" s="4"/>
      <c r="F42" s="4"/>
      <c r="G42" s="4"/>
      <c r="H42" s="4"/>
      <c r="I42" s="4"/>
      <c r="J42" s="4"/>
      <c r="K42" s="4"/>
      <c r="L42" s="4"/>
      <c r="M42" s="4"/>
      <c r="N42" s="4"/>
      <c r="O42" s="4"/>
      <c r="P42" s="4"/>
      <c r="Q42" s="4"/>
      <c r="R42" s="4"/>
      <c r="S42" s="4"/>
      <c r="T42" s="4"/>
      <c r="U42" s="4"/>
      <c r="V42" s="4"/>
      <c r="W42" s="4"/>
      <c r="X42" s="4"/>
      <c r="Y42" s="4"/>
      <c r="Z42" s="4"/>
    </row>
    <row r="43">
      <c r="A43" s="3" t="s">
        <v>756</v>
      </c>
      <c r="B43" s="3" t="s">
        <v>757</v>
      </c>
      <c r="C43" s="3" t="s">
        <v>683</v>
      </c>
      <c r="D43" s="3" t="s">
        <v>669</v>
      </c>
      <c r="E43" s="4"/>
      <c r="F43" s="4"/>
      <c r="G43" s="4"/>
      <c r="H43" s="4"/>
      <c r="I43" s="4"/>
      <c r="J43" s="4"/>
      <c r="K43" s="4"/>
      <c r="L43" s="4"/>
      <c r="M43" s="4"/>
      <c r="N43" s="4"/>
      <c r="O43" s="4"/>
      <c r="P43" s="4"/>
      <c r="Q43" s="4"/>
      <c r="R43" s="4"/>
      <c r="S43" s="4"/>
      <c r="T43" s="4"/>
      <c r="U43" s="4"/>
      <c r="V43" s="4"/>
      <c r="W43" s="4"/>
      <c r="X43" s="4"/>
      <c r="Y43" s="4"/>
      <c r="Z43" s="4"/>
    </row>
    <row r="44">
      <c r="A44" s="3" t="s">
        <v>758</v>
      </c>
      <c r="B44" s="3" t="s">
        <v>759</v>
      </c>
      <c r="C44" s="3" t="s">
        <v>683</v>
      </c>
      <c r="D44" s="3" t="s">
        <v>669</v>
      </c>
      <c r="E44" s="4"/>
      <c r="F44" s="4"/>
      <c r="G44" s="4"/>
      <c r="H44" s="4"/>
      <c r="I44" s="4"/>
      <c r="J44" s="4"/>
      <c r="K44" s="4"/>
      <c r="L44" s="4"/>
      <c r="M44" s="4"/>
      <c r="N44" s="4"/>
      <c r="O44" s="4"/>
      <c r="P44" s="4"/>
      <c r="Q44" s="4"/>
      <c r="R44" s="4"/>
      <c r="S44" s="4"/>
      <c r="T44" s="4"/>
      <c r="U44" s="4"/>
      <c r="V44" s="4"/>
      <c r="W44" s="4"/>
      <c r="X44" s="4"/>
      <c r="Y44" s="4"/>
      <c r="Z44" s="4"/>
    </row>
    <row r="45">
      <c r="A45" s="3" t="s">
        <v>760</v>
      </c>
      <c r="B45" s="3" t="s">
        <v>761</v>
      </c>
      <c r="C45" s="3" t="s">
        <v>672</v>
      </c>
      <c r="D45" s="3" t="s">
        <v>669</v>
      </c>
      <c r="E45" s="4"/>
      <c r="F45" s="4"/>
      <c r="G45" s="4"/>
      <c r="H45" s="4"/>
      <c r="I45" s="4"/>
      <c r="J45" s="4"/>
      <c r="K45" s="4"/>
      <c r="L45" s="4"/>
      <c r="M45" s="4"/>
      <c r="N45" s="4"/>
      <c r="O45" s="4"/>
      <c r="P45" s="4"/>
      <c r="Q45" s="4"/>
      <c r="R45" s="4"/>
      <c r="S45" s="4"/>
      <c r="T45" s="4"/>
      <c r="U45" s="4"/>
      <c r="V45" s="4"/>
      <c r="W45" s="4"/>
      <c r="X45" s="4"/>
      <c r="Y45" s="4"/>
      <c r="Z45" s="4"/>
    </row>
    <row r="46">
      <c r="A46" s="3" t="s">
        <v>762</v>
      </c>
      <c r="B46" s="3" t="s">
        <v>763</v>
      </c>
      <c r="C46" s="3" t="s">
        <v>664</v>
      </c>
      <c r="D46" s="3" t="s">
        <v>665</v>
      </c>
      <c r="E46" s="4"/>
      <c r="F46" s="4"/>
      <c r="G46" s="4"/>
      <c r="H46" s="4"/>
      <c r="I46" s="4"/>
      <c r="J46" s="4"/>
      <c r="K46" s="4"/>
      <c r="L46" s="4"/>
      <c r="M46" s="4"/>
      <c r="N46" s="4"/>
      <c r="O46" s="4"/>
      <c r="P46" s="4"/>
      <c r="Q46" s="4"/>
      <c r="R46" s="4"/>
      <c r="S46" s="4"/>
      <c r="T46" s="4"/>
      <c r="U46" s="4"/>
      <c r="V46" s="4"/>
      <c r="W46" s="4"/>
      <c r="X46" s="4"/>
      <c r="Y46" s="4"/>
      <c r="Z46" s="4"/>
    </row>
    <row r="47">
      <c r="A47" s="3" t="s">
        <v>764</v>
      </c>
      <c r="B47" s="3" t="s">
        <v>765</v>
      </c>
      <c r="C47" s="3" t="s">
        <v>683</v>
      </c>
      <c r="D47" s="3" t="s">
        <v>669</v>
      </c>
      <c r="E47" s="4"/>
      <c r="F47" s="4"/>
      <c r="G47" s="4"/>
      <c r="H47" s="4"/>
      <c r="I47" s="4"/>
      <c r="J47" s="4"/>
      <c r="K47" s="4"/>
      <c r="L47" s="4"/>
      <c r="M47" s="4"/>
      <c r="N47" s="4"/>
      <c r="O47" s="4"/>
      <c r="P47" s="4"/>
      <c r="Q47" s="4"/>
      <c r="R47" s="4"/>
      <c r="S47" s="4"/>
      <c r="T47" s="4"/>
      <c r="U47" s="4"/>
      <c r="V47" s="4"/>
      <c r="W47" s="4"/>
      <c r="X47" s="4"/>
      <c r="Y47" s="4"/>
      <c r="Z47" s="4"/>
    </row>
    <row r="48">
      <c r="A48" s="3" t="s">
        <v>766</v>
      </c>
      <c r="B48" s="3" t="s">
        <v>767</v>
      </c>
      <c r="C48" s="3" t="s">
        <v>706</v>
      </c>
      <c r="D48" s="3" t="s">
        <v>669</v>
      </c>
      <c r="E48" s="4"/>
      <c r="F48" s="4"/>
      <c r="G48" s="4"/>
      <c r="H48" s="4"/>
      <c r="I48" s="4"/>
      <c r="J48" s="4"/>
      <c r="K48" s="4"/>
      <c r="L48" s="4"/>
      <c r="M48" s="4"/>
      <c r="N48" s="4"/>
      <c r="O48" s="4"/>
      <c r="P48" s="4"/>
      <c r="Q48" s="4"/>
      <c r="R48" s="4"/>
      <c r="S48" s="4"/>
      <c r="T48" s="4"/>
      <c r="U48" s="4"/>
      <c r="V48" s="4"/>
      <c r="W48" s="4"/>
      <c r="X48" s="4"/>
      <c r="Y48" s="4"/>
      <c r="Z48" s="4"/>
    </row>
    <row r="49">
      <c r="A49" s="3" t="s">
        <v>768</v>
      </c>
      <c r="B49" s="3" t="s">
        <v>769</v>
      </c>
      <c r="C49" s="3" t="s">
        <v>706</v>
      </c>
      <c r="D49" s="3" t="s">
        <v>669</v>
      </c>
      <c r="E49" s="4"/>
      <c r="F49" s="4"/>
      <c r="G49" s="4"/>
      <c r="H49" s="4"/>
      <c r="I49" s="4"/>
      <c r="J49" s="4"/>
      <c r="K49" s="4"/>
      <c r="L49" s="4"/>
      <c r="M49" s="4"/>
      <c r="N49" s="4"/>
      <c r="O49" s="4"/>
      <c r="P49" s="4"/>
      <c r="Q49" s="4"/>
      <c r="R49" s="4"/>
      <c r="S49" s="4"/>
      <c r="T49" s="4"/>
      <c r="U49" s="4"/>
      <c r="V49" s="4"/>
      <c r="W49" s="4"/>
      <c r="X49" s="4"/>
      <c r="Y49" s="4"/>
      <c r="Z49" s="4"/>
    </row>
    <row r="50">
      <c r="A50" s="3" t="s">
        <v>770</v>
      </c>
      <c r="B50" s="3" t="s">
        <v>771</v>
      </c>
      <c r="C50" s="3" t="s">
        <v>722</v>
      </c>
      <c r="D50" s="3" t="s">
        <v>669</v>
      </c>
      <c r="E50" s="4"/>
      <c r="F50" s="4"/>
      <c r="G50" s="4"/>
      <c r="H50" s="4"/>
      <c r="I50" s="4"/>
      <c r="J50" s="4"/>
      <c r="K50" s="4"/>
      <c r="L50" s="4"/>
      <c r="M50" s="4"/>
      <c r="N50" s="4"/>
      <c r="O50" s="4"/>
      <c r="P50" s="4"/>
      <c r="Q50" s="4"/>
      <c r="R50" s="4"/>
      <c r="S50" s="4"/>
      <c r="T50" s="4"/>
      <c r="U50" s="4"/>
      <c r="V50" s="4"/>
      <c r="W50" s="4"/>
      <c r="X50" s="4"/>
      <c r="Y50" s="4"/>
      <c r="Z50" s="4"/>
    </row>
    <row r="51">
      <c r="A51" s="3" t="s">
        <v>772</v>
      </c>
      <c r="B51" s="3" t="s">
        <v>773</v>
      </c>
      <c r="C51" s="3" t="s">
        <v>697</v>
      </c>
      <c r="D51" s="3" t="s">
        <v>669</v>
      </c>
      <c r="E51" s="4"/>
      <c r="F51" s="4"/>
      <c r="G51" s="4"/>
      <c r="H51" s="4"/>
      <c r="I51" s="4"/>
      <c r="J51" s="4"/>
      <c r="K51" s="4"/>
      <c r="L51" s="4"/>
      <c r="M51" s="4"/>
      <c r="N51" s="4"/>
      <c r="O51" s="4"/>
      <c r="P51" s="4"/>
      <c r="Q51" s="4"/>
      <c r="R51" s="4"/>
      <c r="S51" s="4"/>
      <c r="T51" s="4"/>
      <c r="U51" s="4"/>
      <c r="V51" s="4"/>
      <c r="W51" s="4"/>
      <c r="X51" s="4"/>
      <c r="Y51" s="4"/>
      <c r="Z51" s="4"/>
    </row>
    <row r="52">
      <c r="A52" s="3" t="s">
        <v>774</v>
      </c>
      <c r="B52" s="3" t="s">
        <v>775</v>
      </c>
      <c r="C52" s="3" t="s">
        <v>677</v>
      </c>
      <c r="D52" s="3" t="s">
        <v>665</v>
      </c>
      <c r="E52" s="4"/>
      <c r="F52" s="4"/>
      <c r="G52" s="4"/>
      <c r="H52" s="4"/>
      <c r="I52" s="4"/>
      <c r="J52" s="4"/>
      <c r="K52" s="4"/>
      <c r="L52" s="4"/>
      <c r="M52" s="4"/>
      <c r="N52" s="4"/>
      <c r="O52" s="4"/>
      <c r="P52" s="4"/>
      <c r="Q52" s="4"/>
      <c r="R52" s="4"/>
      <c r="S52" s="4"/>
      <c r="T52" s="4"/>
      <c r="U52" s="4"/>
      <c r="V52" s="4"/>
      <c r="W52" s="4"/>
      <c r="X52" s="4"/>
      <c r="Y52" s="4"/>
      <c r="Z52" s="4"/>
    </row>
    <row r="53">
      <c r="A53" s="3" t="s">
        <v>776</v>
      </c>
      <c r="B53" s="3" t="s">
        <v>777</v>
      </c>
      <c r="C53" s="3" t="s">
        <v>677</v>
      </c>
      <c r="D53" s="3" t="s">
        <v>665</v>
      </c>
      <c r="E53" s="4"/>
      <c r="F53" s="4"/>
      <c r="G53" s="4"/>
      <c r="H53" s="4"/>
      <c r="I53" s="4"/>
      <c r="J53" s="4"/>
      <c r="K53" s="4"/>
      <c r="L53" s="4"/>
      <c r="M53" s="4"/>
      <c r="N53" s="4"/>
      <c r="O53" s="4"/>
      <c r="P53" s="4"/>
      <c r="Q53" s="4"/>
      <c r="R53" s="4"/>
      <c r="S53" s="4"/>
      <c r="T53" s="4"/>
      <c r="U53" s="4"/>
      <c r="V53" s="4"/>
      <c r="W53" s="4"/>
      <c r="X53" s="4"/>
      <c r="Y53" s="4"/>
      <c r="Z53" s="4"/>
    </row>
    <row r="54">
      <c r="A54" s="3" t="s">
        <v>778</v>
      </c>
      <c r="B54" s="3" t="s">
        <v>779</v>
      </c>
      <c r="C54" s="3" t="s">
        <v>706</v>
      </c>
      <c r="D54" s="3" t="s">
        <v>669</v>
      </c>
      <c r="E54" s="4"/>
      <c r="F54" s="4"/>
      <c r="G54" s="4"/>
      <c r="H54" s="4"/>
      <c r="I54" s="4"/>
      <c r="J54" s="4"/>
      <c r="K54" s="4"/>
      <c r="L54" s="4"/>
      <c r="M54" s="4"/>
      <c r="N54" s="4"/>
      <c r="O54" s="4"/>
      <c r="P54" s="4"/>
      <c r="Q54" s="4"/>
      <c r="R54" s="4"/>
      <c r="S54" s="4"/>
      <c r="T54" s="4"/>
      <c r="U54" s="4"/>
      <c r="V54" s="4"/>
      <c r="W54" s="4"/>
      <c r="X54" s="4"/>
      <c r="Y54" s="4"/>
      <c r="Z54" s="4"/>
    </row>
    <row r="55">
      <c r="A55" s="3" t="s">
        <v>780</v>
      </c>
      <c r="B55" s="3" t="s">
        <v>781</v>
      </c>
      <c r="C55" s="3" t="s">
        <v>683</v>
      </c>
      <c r="D55" s="3" t="s">
        <v>669</v>
      </c>
      <c r="E55" s="4"/>
      <c r="F55" s="4"/>
      <c r="G55" s="4"/>
      <c r="H55" s="4"/>
      <c r="I55" s="4"/>
      <c r="J55" s="4"/>
      <c r="K55" s="4"/>
      <c r="L55" s="4"/>
      <c r="M55" s="4"/>
      <c r="N55" s="4"/>
      <c r="O55" s="4"/>
      <c r="P55" s="4"/>
      <c r="Q55" s="4"/>
      <c r="R55" s="4"/>
      <c r="S55" s="4"/>
      <c r="T55" s="4"/>
      <c r="U55" s="4"/>
      <c r="V55" s="4"/>
      <c r="W55" s="4"/>
      <c r="X55" s="4"/>
      <c r="Y55" s="4"/>
      <c r="Z55" s="4"/>
    </row>
    <row r="56">
      <c r="A56" s="3" t="s">
        <v>780</v>
      </c>
      <c r="B56" s="3" t="s">
        <v>782</v>
      </c>
      <c r="C56" s="3" t="s">
        <v>683</v>
      </c>
      <c r="D56" s="3" t="s">
        <v>669</v>
      </c>
      <c r="E56" s="4"/>
      <c r="F56" s="4"/>
      <c r="G56" s="4"/>
      <c r="H56" s="4"/>
      <c r="I56" s="4"/>
      <c r="J56" s="4"/>
      <c r="K56" s="4"/>
      <c r="L56" s="4"/>
      <c r="M56" s="4"/>
      <c r="N56" s="4"/>
      <c r="O56" s="4"/>
      <c r="P56" s="4"/>
      <c r="Q56" s="4"/>
      <c r="R56" s="4"/>
      <c r="S56" s="4"/>
      <c r="T56" s="4"/>
      <c r="U56" s="4"/>
      <c r="V56" s="4"/>
      <c r="W56" s="4"/>
      <c r="X56" s="4"/>
      <c r="Y56" s="4"/>
      <c r="Z56" s="4"/>
    </row>
    <row r="57">
      <c r="A57" s="3" t="s">
        <v>783</v>
      </c>
      <c r="B57" s="3" t="s">
        <v>784</v>
      </c>
      <c r="C57" s="3" t="s">
        <v>683</v>
      </c>
      <c r="D57" s="3" t="s">
        <v>669</v>
      </c>
      <c r="E57" s="4"/>
      <c r="F57" s="4"/>
      <c r="G57" s="4"/>
      <c r="H57" s="4"/>
      <c r="I57" s="4"/>
      <c r="J57" s="4"/>
      <c r="K57" s="4"/>
      <c r="L57" s="4"/>
      <c r="M57" s="4"/>
      <c r="N57" s="4"/>
      <c r="O57" s="4"/>
      <c r="P57" s="4"/>
      <c r="Q57" s="4"/>
      <c r="R57" s="4"/>
      <c r="S57" s="4"/>
      <c r="T57" s="4"/>
      <c r="U57" s="4"/>
      <c r="V57" s="4"/>
      <c r="W57" s="4"/>
      <c r="X57" s="4"/>
      <c r="Y57" s="4"/>
      <c r="Z57" s="4"/>
    </row>
    <row r="58">
      <c r="A58" s="3" t="s">
        <v>785</v>
      </c>
      <c r="B58" s="3" t="s">
        <v>786</v>
      </c>
      <c r="C58" s="3" t="s">
        <v>677</v>
      </c>
      <c r="D58" s="3" t="s">
        <v>665</v>
      </c>
      <c r="E58" s="4"/>
      <c r="F58" s="4"/>
      <c r="G58" s="4"/>
      <c r="H58" s="4"/>
      <c r="I58" s="4"/>
      <c r="J58" s="4"/>
      <c r="K58" s="4"/>
      <c r="L58" s="4"/>
      <c r="M58" s="4"/>
      <c r="N58" s="4"/>
      <c r="O58" s="4"/>
      <c r="P58" s="4"/>
      <c r="Q58" s="4"/>
      <c r="R58" s="4"/>
      <c r="S58" s="4"/>
      <c r="T58" s="4"/>
      <c r="U58" s="4"/>
      <c r="V58" s="4"/>
      <c r="W58" s="4"/>
      <c r="X58" s="4"/>
      <c r="Y58" s="4"/>
      <c r="Z58" s="4"/>
    </row>
    <row r="59">
      <c r="A59" s="3" t="s">
        <v>787</v>
      </c>
      <c r="B59" s="3" t="s">
        <v>788</v>
      </c>
      <c r="C59" s="3" t="s">
        <v>706</v>
      </c>
      <c r="D59" s="3" t="s">
        <v>669</v>
      </c>
      <c r="E59" s="4"/>
      <c r="F59" s="4"/>
      <c r="G59" s="4"/>
      <c r="H59" s="4"/>
      <c r="I59" s="4"/>
      <c r="J59" s="4"/>
      <c r="K59" s="4"/>
      <c r="L59" s="4"/>
      <c r="M59" s="4"/>
      <c r="N59" s="4"/>
      <c r="O59" s="4"/>
      <c r="P59" s="4"/>
      <c r="Q59" s="4"/>
      <c r="R59" s="4"/>
      <c r="S59" s="4"/>
      <c r="T59" s="4"/>
      <c r="U59" s="4"/>
      <c r="V59" s="4"/>
      <c r="W59" s="4"/>
      <c r="X59" s="4"/>
      <c r="Y59" s="4"/>
      <c r="Z59" s="4"/>
    </row>
    <row r="60">
      <c r="A60" s="3" t="s">
        <v>789</v>
      </c>
      <c r="B60" s="3" t="s">
        <v>790</v>
      </c>
      <c r="C60" s="3" t="s">
        <v>680</v>
      </c>
      <c r="D60" s="3" t="s">
        <v>665</v>
      </c>
      <c r="E60" s="4"/>
      <c r="F60" s="4"/>
      <c r="G60" s="4"/>
      <c r="H60" s="4"/>
      <c r="I60" s="4"/>
      <c r="J60" s="4"/>
      <c r="K60" s="4"/>
      <c r="L60" s="4"/>
      <c r="M60" s="4"/>
      <c r="N60" s="4"/>
      <c r="O60" s="4"/>
      <c r="P60" s="4"/>
      <c r="Q60" s="4"/>
      <c r="R60" s="4"/>
      <c r="S60" s="4"/>
      <c r="T60" s="4"/>
      <c r="U60" s="4"/>
      <c r="V60" s="4"/>
      <c r="W60" s="4"/>
      <c r="X60" s="4"/>
      <c r="Y60" s="4"/>
      <c r="Z60" s="4"/>
    </row>
    <row r="61">
      <c r="A61" s="3" t="s">
        <v>791</v>
      </c>
      <c r="B61" s="3" t="s">
        <v>792</v>
      </c>
      <c r="C61" s="3" t="s">
        <v>672</v>
      </c>
      <c r="D61" s="3" t="s">
        <v>669</v>
      </c>
      <c r="E61" s="4"/>
      <c r="F61" s="4"/>
      <c r="G61" s="4"/>
      <c r="H61" s="4"/>
      <c r="I61" s="4"/>
      <c r="J61" s="4"/>
      <c r="K61" s="4"/>
      <c r="L61" s="4"/>
      <c r="M61" s="4"/>
      <c r="N61" s="4"/>
      <c r="O61" s="4"/>
      <c r="P61" s="4"/>
      <c r="Q61" s="4"/>
      <c r="R61" s="4"/>
      <c r="S61" s="4"/>
      <c r="T61" s="4"/>
      <c r="U61" s="4"/>
      <c r="V61" s="4"/>
      <c r="W61" s="4"/>
      <c r="X61" s="4"/>
      <c r="Y61" s="4"/>
      <c r="Z61" s="4"/>
    </row>
    <row r="62">
      <c r="A62" s="3" t="s">
        <v>793</v>
      </c>
      <c r="B62" s="3" t="s">
        <v>794</v>
      </c>
      <c r="C62" s="3" t="s">
        <v>697</v>
      </c>
      <c r="D62" s="3" t="s">
        <v>669</v>
      </c>
      <c r="E62" s="4"/>
      <c r="F62" s="4"/>
      <c r="G62" s="4"/>
      <c r="H62" s="4"/>
      <c r="I62" s="4"/>
      <c r="J62" s="4"/>
      <c r="K62" s="4"/>
      <c r="L62" s="4"/>
      <c r="M62" s="4"/>
      <c r="N62" s="4"/>
      <c r="O62" s="4"/>
      <c r="P62" s="4"/>
      <c r="Q62" s="4"/>
      <c r="R62" s="4"/>
      <c r="S62" s="4"/>
      <c r="T62" s="4"/>
      <c r="U62" s="4"/>
      <c r="V62" s="4"/>
      <c r="W62" s="4"/>
      <c r="X62" s="4"/>
      <c r="Y62" s="4"/>
      <c r="Z62" s="4"/>
    </row>
    <row r="63">
      <c r="A63" s="3" t="s">
        <v>795</v>
      </c>
      <c r="B63" s="3" t="s">
        <v>796</v>
      </c>
      <c r="C63" s="3" t="s">
        <v>677</v>
      </c>
      <c r="D63" s="3" t="s">
        <v>665</v>
      </c>
      <c r="E63" s="4"/>
      <c r="F63" s="4"/>
      <c r="G63" s="4"/>
      <c r="H63" s="4"/>
      <c r="I63" s="4"/>
      <c r="J63" s="4"/>
      <c r="K63" s="4"/>
      <c r="L63" s="4"/>
      <c r="M63" s="4"/>
      <c r="N63" s="4"/>
      <c r="O63" s="4"/>
      <c r="P63" s="4"/>
      <c r="Q63" s="4"/>
      <c r="R63" s="4"/>
      <c r="S63" s="4"/>
      <c r="T63" s="4"/>
      <c r="U63" s="4"/>
      <c r="V63" s="4"/>
      <c r="W63" s="4"/>
      <c r="X63" s="4"/>
      <c r="Y63" s="4"/>
      <c r="Z63" s="4"/>
    </row>
    <row r="64">
      <c r="A64" s="3" t="s">
        <v>797</v>
      </c>
      <c r="B64" s="3" t="s">
        <v>798</v>
      </c>
      <c r="C64" s="3" t="s">
        <v>672</v>
      </c>
      <c r="D64" s="3" t="s">
        <v>665</v>
      </c>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9.75"/>
    <col customWidth="1" min="2" max="2" width="38.13"/>
    <col customWidth="1" min="3" max="3" width="30.63"/>
    <col customWidth="1" min="4" max="4" width="34.38"/>
  </cols>
  <sheetData>
    <row r="1">
      <c r="A1" s="1" t="s">
        <v>0</v>
      </c>
      <c r="B1" s="1" t="s">
        <v>1</v>
      </c>
      <c r="C1" s="1" t="s">
        <v>660</v>
      </c>
      <c r="D1" s="5" t="s">
        <v>661</v>
      </c>
      <c r="E1" s="4"/>
      <c r="F1" s="4"/>
      <c r="G1" s="4"/>
      <c r="H1" s="4"/>
      <c r="I1" s="4"/>
      <c r="J1" s="4"/>
      <c r="K1" s="4"/>
      <c r="L1" s="4"/>
      <c r="M1" s="4"/>
      <c r="N1" s="4"/>
      <c r="O1" s="4"/>
      <c r="P1" s="4"/>
      <c r="Q1" s="4"/>
      <c r="R1" s="4"/>
      <c r="S1" s="4"/>
      <c r="T1" s="4"/>
      <c r="U1" s="4"/>
      <c r="V1" s="4"/>
      <c r="W1" s="4"/>
      <c r="X1" s="4"/>
      <c r="Y1" s="4"/>
      <c r="Z1" s="4"/>
    </row>
    <row r="2">
      <c r="A2" s="3" t="s">
        <v>799</v>
      </c>
      <c r="B2" s="3" t="s">
        <v>800</v>
      </c>
      <c r="C2" s="3" t="s">
        <v>664</v>
      </c>
      <c r="D2" s="6" t="s">
        <v>669</v>
      </c>
      <c r="E2" s="4"/>
      <c r="F2" s="3" t="s">
        <v>801</v>
      </c>
      <c r="G2" s="3">
        <f>countif(C:C, "*juvenile*")</f>
        <v>1</v>
      </c>
      <c r="H2" s="4"/>
      <c r="I2" s="4"/>
      <c r="J2" s="4"/>
      <c r="K2" s="4"/>
      <c r="L2" s="4"/>
      <c r="M2" s="4"/>
      <c r="N2" s="4"/>
      <c r="O2" s="4"/>
      <c r="P2" s="4"/>
      <c r="Q2" s="4"/>
      <c r="R2" s="4"/>
      <c r="S2" s="4"/>
      <c r="T2" s="4"/>
      <c r="U2" s="4"/>
      <c r="V2" s="4"/>
      <c r="W2" s="4"/>
      <c r="X2" s="4"/>
      <c r="Y2" s="4"/>
      <c r="Z2" s="4"/>
    </row>
    <row r="3">
      <c r="A3" s="3" t="s">
        <v>802</v>
      </c>
      <c r="B3" s="3" t="s">
        <v>803</v>
      </c>
      <c r="C3" s="3" t="s">
        <v>672</v>
      </c>
      <c r="D3" s="6" t="s">
        <v>669</v>
      </c>
      <c r="E3" s="4"/>
      <c r="F3" s="3" t="s">
        <v>672</v>
      </c>
      <c r="G3" s="3">
        <f>countif(C:C, "*non-us*")</f>
        <v>17</v>
      </c>
      <c r="H3" s="4"/>
      <c r="I3" s="4"/>
      <c r="J3" s="4"/>
      <c r="K3" s="4"/>
      <c r="L3" s="4"/>
      <c r="M3" s="4"/>
      <c r="N3" s="4"/>
      <c r="O3" s="4"/>
      <c r="P3" s="4"/>
      <c r="Q3" s="4"/>
      <c r="R3" s="4"/>
      <c r="S3" s="4"/>
      <c r="T3" s="4"/>
      <c r="U3" s="4"/>
      <c r="V3" s="4"/>
      <c r="W3" s="4"/>
      <c r="X3" s="4"/>
      <c r="Y3" s="4"/>
      <c r="Z3" s="4"/>
    </row>
    <row r="4">
      <c r="A4" s="3" t="s">
        <v>804</v>
      </c>
      <c r="B4" s="3" t="s">
        <v>805</v>
      </c>
      <c r="C4" s="3" t="s">
        <v>745</v>
      </c>
      <c r="D4" s="6" t="s">
        <v>669</v>
      </c>
      <c r="E4" s="4"/>
      <c r="F4" s="3" t="s">
        <v>745</v>
      </c>
      <c r="G4" s="3">
        <f>countif(C:C, "*persuasive*")</f>
        <v>16</v>
      </c>
      <c r="H4" s="4"/>
      <c r="I4" s="4"/>
      <c r="J4" s="4"/>
      <c r="K4" s="4"/>
      <c r="L4" s="4"/>
      <c r="M4" s="4"/>
      <c r="N4" s="4"/>
      <c r="O4" s="4"/>
      <c r="P4" s="4"/>
      <c r="Q4" s="4"/>
      <c r="R4" s="4"/>
      <c r="S4" s="4"/>
      <c r="T4" s="4"/>
      <c r="U4" s="4"/>
      <c r="V4" s="4"/>
      <c r="W4" s="4"/>
      <c r="X4" s="4"/>
      <c r="Y4" s="4"/>
      <c r="Z4" s="4"/>
    </row>
    <row r="5">
      <c r="A5" s="3" t="s">
        <v>806</v>
      </c>
      <c r="B5" s="3" t="s">
        <v>807</v>
      </c>
      <c r="C5" s="3" t="s">
        <v>672</v>
      </c>
      <c r="D5" s="6" t="s">
        <v>669</v>
      </c>
      <c r="E5" s="4"/>
      <c r="F5" s="3" t="s">
        <v>808</v>
      </c>
      <c r="G5" s="3">
        <f>countif(C:C, "*risk-assessment focused*")</f>
        <v>10</v>
      </c>
      <c r="H5" s="4"/>
      <c r="I5" s="4"/>
      <c r="J5" s="4"/>
      <c r="K5" s="4"/>
      <c r="L5" s="4"/>
      <c r="M5" s="4"/>
      <c r="N5" s="4"/>
      <c r="O5" s="4"/>
      <c r="P5" s="4"/>
      <c r="Q5" s="4"/>
      <c r="R5" s="4"/>
      <c r="S5" s="4"/>
      <c r="T5" s="4"/>
      <c r="U5" s="4"/>
      <c r="V5" s="4"/>
      <c r="W5" s="4"/>
      <c r="X5" s="4"/>
      <c r="Y5" s="4"/>
      <c r="Z5" s="4"/>
    </row>
    <row r="6">
      <c r="A6" s="3" t="s">
        <v>809</v>
      </c>
      <c r="B6" s="3" t="s">
        <v>810</v>
      </c>
      <c r="C6" s="3" t="s">
        <v>677</v>
      </c>
      <c r="D6" s="6" t="s">
        <v>665</v>
      </c>
      <c r="E6" s="4"/>
      <c r="F6" s="3" t="s">
        <v>811</v>
      </c>
      <c r="G6" s="3">
        <f>countif(C:C, "*not ai*")</f>
        <v>2</v>
      </c>
      <c r="H6" s="4"/>
      <c r="I6" s="4"/>
      <c r="J6" s="4"/>
      <c r="K6" s="4"/>
      <c r="L6" s="4"/>
      <c r="M6" s="4"/>
      <c r="N6" s="4"/>
      <c r="O6" s="4"/>
      <c r="P6" s="4"/>
      <c r="Q6" s="4"/>
      <c r="R6" s="4"/>
      <c r="S6" s="4"/>
      <c r="T6" s="4"/>
      <c r="U6" s="4"/>
      <c r="V6" s="4"/>
      <c r="W6" s="4"/>
      <c r="X6" s="4"/>
      <c r="Y6" s="4"/>
      <c r="Z6" s="4"/>
    </row>
    <row r="7">
      <c r="A7" s="3" t="s">
        <v>812</v>
      </c>
      <c r="B7" s="3" t="s">
        <v>813</v>
      </c>
      <c r="C7" s="3" t="s">
        <v>677</v>
      </c>
      <c r="D7" s="6" t="s">
        <v>669</v>
      </c>
      <c r="E7" s="4"/>
      <c r="F7" s="3" t="s">
        <v>814</v>
      </c>
      <c r="G7" s="3">
        <f>countif(C:C, "*peer*")</f>
        <v>1</v>
      </c>
      <c r="H7" s="4"/>
      <c r="I7" s="4"/>
      <c r="J7" s="4"/>
      <c r="K7" s="4"/>
      <c r="L7" s="4"/>
      <c r="M7" s="4"/>
      <c r="N7" s="4"/>
      <c r="O7" s="4"/>
      <c r="P7" s="4"/>
      <c r="Q7" s="4"/>
      <c r="R7" s="4"/>
      <c r="S7" s="4"/>
      <c r="T7" s="4"/>
      <c r="U7" s="4"/>
      <c r="V7" s="4"/>
      <c r="W7" s="4"/>
      <c r="X7" s="4"/>
      <c r="Y7" s="4"/>
      <c r="Z7" s="4"/>
    </row>
    <row r="8">
      <c r="A8" s="3" t="s">
        <v>815</v>
      </c>
      <c r="B8" s="3" t="s">
        <v>816</v>
      </c>
      <c r="C8" s="3" t="s">
        <v>677</v>
      </c>
      <c r="D8" s="6" t="s">
        <v>817</v>
      </c>
      <c r="E8" s="4"/>
      <c r="H8" s="4"/>
      <c r="I8" s="4"/>
      <c r="J8" s="4"/>
      <c r="K8" s="4"/>
      <c r="L8" s="4"/>
      <c r="M8" s="4"/>
      <c r="N8" s="4"/>
      <c r="O8" s="4"/>
      <c r="P8" s="4"/>
      <c r="Q8" s="4"/>
      <c r="R8" s="4"/>
      <c r="S8" s="4"/>
      <c r="T8" s="4"/>
      <c r="U8" s="4"/>
      <c r="V8" s="4"/>
      <c r="W8" s="4"/>
      <c r="X8" s="4"/>
      <c r="Y8" s="4"/>
      <c r="Z8" s="4"/>
    </row>
    <row r="9">
      <c r="A9" s="3" t="s">
        <v>818</v>
      </c>
      <c r="B9" s="3" t="s">
        <v>819</v>
      </c>
      <c r="C9" s="3" t="s">
        <v>745</v>
      </c>
      <c r="D9" s="6" t="s">
        <v>669</v>
      </c>
      <c r="E9" s="4"/>
      <c r="F9" s="3" t="s">
        <v>820</v>
      </c>
      <c r="G9" s="3">
        <f>countif(C:C, "*,*")</f>
        <v>4</v>
      </c>
      <c r="H9" s="4"/>
      <c r="I9" s="4"/>
      <c r="J9" s="4"/>
      <c r="K9" s="4"/>
      <c r="L9" s="4"/>
      <c r="M9" s="4"/>
      <c r="N9" s="4"/>
      <c r="O9" s="4"/>
      <c r="P9" s="4"/>
      <c r="Q9" s="4"/>
      <c r="R9" s="4"/>
      <c r="S9" s="4"/>
      <c r="T9" s="4"/>
      <c r="U9" s="4"/>
      <c r="V9" s="4"/>
      <c r="W9" s="4"/>
      <c r="X9" s="4"/>
      <c r="Y9" s="4"/>
      <c r="Z9" s="4"/>
    </row>
    <row r="10">
      <c r="A10" s="3" t="s">
        <v>821</v>
      </c>
      <c r="B10" s="3" t="s">
        <v>822</v>
      </c>
      <c r="C10" s="3" t="s">
        <v>686</v>
      </c>
      <c r="D10" s="6" t="s">
        <v>817</v>
      </c>
      <c r="E10" s="4"/>
      <c r="F10" s="3" t="s">
        <v>823</v>
      </c>
      <c r="G10" s="4">
        <f>SUM(G2:G8) - G9</f>
        <v>43</v>
      </c>
      <c r="H10" s="4"/>
      <c r="I10" s="4"/>
      <c r="J10" s="4"/>
      <c r="K10" s="4"/>
      <c r="L10" s="4"/>
      <c r="M10" s="4"/>
      <c r="N10" s="4"/>
      <c r="O10" s="4"/>
      <c r="P10" s="4"/>
      <c r="Q10" s="4"/>
      <c r="R10" s="4"/>
      <c r="S10" s="4"/>
      <c r="T10" s="4"/>
      <c r="U10" s="4"/>
      <c r="V10" s="4"/>
      <c r="W10" s="4"/>
      <c r="X10" s="4"/>
      <c r="Y10" s="4"/>
      <c r="Z10" s="4"/>
    </row>
    <row r="11">
      <c r="A11" s="3" t="s">
        <v>824</v>
      </c>
      <c r="B11" s="3" t="s">
        <v>825</v>
      </c>
      <c r="C11" s="3" t="s">
        <v>745</v>
      </c>
      <c r="D11" s="6" t="s">
        <v>669</v>
      </c>
      <c r="E11" s="4"/>
      <c r="F11" s="4"/>
      <c r="G11" s="4"/>
      <c r="H11" s="4"/>
      <c r="I11" s="4"/>
      <c r="J11" s="4"/>
      <c r="K11" s="4"/>
      <c r="L11" s="4"/>
      <c r="M11" s="4"/>
      <c r="N11" s="4"/>
      <c r="O11" s="4"/>
      <c r="P11" s="4"/>
      <c r="Q11" s="4"/>
      <c r="R11" s="4"/>
      <c r="S11" s="4"/>
      <c r="T11" s="4"/>
      <c r="U11" s="4"/>
      <c r="V11" s="4"/>
      <c r="W11" s="4"/>
      <c r="X11" s="4"/>
      <c r="Y11" s="4"/>
      <c r="Z11" s="4"/>
    </row>
    <row r="12">
      <c r="A12" s="3" t="s">
        <v>826</v>
      </c>
      <c r="B12" s="3" t="s">
        <v>827</v>
      </c>
      <c r="C12" s="3" t="s">
        <v>677</v>
      </c>
      <c r="D12" s="6" t="s">
        <v>665</v>
      </c>
      <c r="E12" s="4"/>
      <c r="F12" s="4"/>
      <c r="G12" s="4"/>
      <c r="H12" s="4"/>
      <c r="I12" s="4"/>
      <c r="J12" s="4"/>
      <c r="K12" s="4"/>
      <c r="L12" s="4"/>
      <c r="M12" s="4"/>
      <c r="N12" s="4"/>
      <c r="O12" s="4"/>
      <c r="P12" s="4"/>
      <c r="Q12" s="4"/>
      <c r="R12" s="4"/>
      <c r="S12" s="4"/>
      <c r="T12" s="4"/>
      <c r="U12" s="4"/>
      <c r="V12" s="4"/>
      <c r="W12" s="4"/>
      <c r="X12" s="4"/>
      <c r="Y12" s="4"/>
      <c r="Z12" s="4"/>
    </row>
    <row r="13">
      <c r="A13" s="3" t="s">
        <v>828</v>
      </c>
      <c r="B13" s="3" t="s">
        <v>829</v>
      </c>
      <c r="C13" s="3" t="s">
        <v>830</v>
      </c>
      <c r="D13" s="6" t="s">
        <v>669</v>
      </c>
      <c r="E13" s="4"/>
      <c r="F13" s="4"/>
      <c r="G13" s="4"/>
      <c r="H13" s="4"/>
      <c r="I13" s="4"/>
      <c r="J13" s="4"/>
      <c r="K13" s="4"/>
      <c r="L13" s="4"/>
      <c r="M13" s="4"/>
      <c r="N13" s="4"/>
      <c r="O13" s="4"/>
      <c r="P13" s="4"/>
      <c r="Q13" s="4"/>
      <c r="R13" s="4"/>
      <c r="S13" s="4"/>
      <c r="T13" s="4"/>
      <c r="U13" s="4"/>
      <c r="V13" s="4"/>
      <c r="W13" s="4"/>
      <c r="X13" s="4"/>
      <c r="Y13" s="4"/>
      <c r="Z13" s="4"/>
    </row>
    <row r="14">
      <c r="A14" s="3" t="s">
        <v>831</v>
      </c>
      <c r="B14" s="3" t="s">
        <v>832</v>
      </c>
      <c r="C14" s="3" t="s">
        <v>672</v>
      </c>
      <c r="D14" s="6" t="s">
        <v>669</v>
      </c>
      <c r="E14" s="4"/>
      <c r="F14" s="4"/>
      <c r="G14" s="4"/>
      <c r="H14" s="4"/>
      <c r="I14" s="4"/>
      <c r="J14" s="4"/>
      <c r="K14" s="4"/>
      <c r="L14" s="4"/>
      <c r="M14" s="4"/>
      <c r="N14" s="4"/>
      <c r="O14" s="4"/>
      <c r="P14" s="4"/>
      <c r="Q14" s="4"/>
      <c r="R14" s="4"/>
      <c r="S14" s="4"/>
      <c r="T14" s="4"/>
      <c r="U14" s="4"/>
      <c r="V14" s="4"/>
      <c r="W14" s="4"/>
      <c r="X14" s="4"/>
      <c r="Y14" s="4"/>
      <c r="Z14" s="4"/>
    </row>
    <row r="15">
      <c r="A15" s="3" t="s">
        <v>833</v>
      </c>
      <c r="B15" s="3" t="s">
        <v>834</v>
      </c>
      <c r="C15" s="3" t="s">
        <v>686</v>
      </c>
      <c r="D15" s="6" t="s">
        <v>669</v>
      </c>
      <c r="E15" s="4"/>
      <c r="F15" s="4"/>
      <c r="G15" s="4"/>
      <c r="H15" s="4"/>
      <c r="I15" s="4"/>
      <c r="J15" s="4"/>
      <c r="K15" s="4"/>
      <c r="L15" s="4"/>
      <c r="M15" s="4"/>
      <c r="N15" s="4"/>
      <c r="O15" s="4"/>
      <c r="P15" s="4"/>
      <c r="Q15" s="4"/>
      <c r="R15" s="4"/>
      <c r="S15" s="4"/>
      <c r="T15" s="4"/>
      <c r="U15" s="4"/>
      <c r="V15" s="4"/>
      <c r="W15" s="4"/>
      <c r="X15" s="4"/>
      <c r="Y15" s="4"/>
      <c r="Z15" s="4"/>
    </row>
    <row r="16">
      <c r="A16" s="3" t="s">
        <v>835</v>
      </c>
      <c r="B16" s="3" t="s">
        <v>836</v>
      </c>
      <c r="C16" s="3" t="s">
        <v>745</v>
      </c>
      <c r="D16" s="6" t="s">
        <v>669</v>
      </c>
      <c r="E16" s="4"/>
      <c r="F16" s="4"/>
      <c r="G16" s="4"/>
      <c r="H16" s="4"/>
      <c r="I16" s="4"/>
      <c r="J16" s="4"/>
      <c r="K16" s="4"/>
      <c r="L16" s="4"/>
      <c r="M16" s="4"/>
      <c r="N16" s="4"/>
      <c r="O16" s="4"/>
      <c r="P16" s="4"/>
      <c r="Q16" s="4"/>
      <c r="R16" s="4"/>
      <c r="S16" s="4"/>
      <c r="T16" s="4"/>
      <c r="U16" s="4"/>
      <c r="V16" s="4"/>
      <c r="W16" s="4"/>
      <c r="X16" s="4"/>
      <c r="Y16" s="4"/>
      <c r="Z16" s="4"/>
    </row>
    <row r="17">
      <c r="A17" s="3" t="s">
        <v>837</v>
      </c>
      <c r="B17" s="3" t="s">
        <v>838</v>
      </c>
      <c r="C17" s="3" t="s">
        <v>672</v>
      </c>
      <c r="D17" s="6" t="s">
        <v>669</v>
      </c>
      <c r="E17" s="4"/>
      <c r="F17" s="4"/>
      <c r="G17" s="4"/>
      <c r="H17" s="4"/>
      <c r="I17" s="4"/>
      <c r="J17" s="4"/>
      <c r="K17" s="4"/>
      <c r="L17" s="4"/>
      <c r="M17" s="4"/>
      <c r="N17" s="4"/>
      <c r="O17" s="4"/>
      <c r="P17" s="4"/>
      <c r="Q17" s="4"/>
      <c r="R17" s="4"/>
      <c r="S17" s="4"/>
      <c r="T17" s="4"/>
      <c r="U17" s="4"/>
      <c r="V17" s="4"/>
      <c r="W17" s="4"/>
      <c r="X17" s="4"/>
      <c r="Y17" s="4"/>
      <c r="Z17" s="4"/>
    </row>
    <row r="18">
      <c r="A18" s="3" t="s">
        <v>839</v>
      </c>
      <c r="B18" s="3" t="s">
        <v>840</v>
      </c>
      <c r="C18" s="3" t="s">
        <v>672</v>
      </c>
      <c r="D18" s="6" t="s">
        <v>669</v>
      </c>
      <c r="E18" s="4"/>
      <c r="F18" s="4"/>
      <c r="G18" s="4"/>
      <c r="H18" s="4"/>
      <c r="I18" s="4"/>
      <c r="J18" s="4"/>
      <c r="K18" s="4"/>
      <c r="L18" s="4"/>
      <c r="M18" s="4"/>
      <c r="N18" s="4"/>
      <c r="O18" s="4"/>
      <c r="P18" s="4"/>
      <c r="Q18" s="4"/>
      <c r="R18" s="4"/>
      <c r="S18" s="4"/>
      <c r="T18" s="4"/>
      <c r="U18" s="4"/>
      <c r="V18" s="4"/>
      <c r="W18" s="4"/>
      <c r="X18" s="4"/>
      <c r="Y18" s="4"/>
      <c r="Z18" s="4"/>
    </row>
    <row r="19">
      <c r="A19" s="3" t="s">
        <v>841</v>
      </c>
      <c r="B19" s="3" t="s">
        <v>842</v>
      </c>
      <c r="C19" s="3" t="s">
        <v>672</v>
      </c>
      <c r="D19" s="6" t="s">
        <v>669</v>
      </c>
      <c r="E19" s="4"/>
      <c r="F19" s="4"/>
      <c r="G19" s="4"/>
      <c r="H19" s="4"/>
      <c r="I19" s="4"/>
      <c r="J19" s="4"/>
      <c r="K19" s="4"/>
      <c r="L19" s="4"/>
      <c r="M19" s="4"/>
      <c r="N19" s="4"/>
      <c r="O19" s="4"/>
      <c r="P19" s="4"/>
      <c r="Q19" s="4"/>
      <c r="R19" s="4"/>
      <c r="S19" s="4"/>
      <c r="T19" s="4"/>
      <c r="U19" s="4"/>
      <c r="V19" s="4"/>
      <c r="W19" s="4"/>
      <c r="X19" s="4"/>
      <c r="Y19" s="4"/>
      <c r="Z19" s="4"/>
    </row>
    <row r="20">
      <c r="A20" s="3" t="s">
        <v>843</v>
      </c>
      <c r="B20" s="3" t="s">
        <v>844</v>
      </c>
      <c r="C20" s="3" t="s">
        <v>672</v>
      </c>
      <c r="D20" s="6" t="s">
        <v>665</v>
      </c>
      <c r="E20" s="4"/>
      <c r="F20" s="4"/>
      <c r="G20" s="4"/>
      <c r="H20" s="4"/>
      <c r="I20" s="4"/>
      <c r="J20" s="4"/>
      <c r="K20" s="4"/>
      <c r="L20" s="4"/>
      <c r="M20" s="4"/>
      <c r="N20" s="4"/>
      <c r="O20" s="4"/>
      <c r="P20" s="4"/>
      <c r="Q20" s="4"/>
      <c r="R20" s="4"/>
      <c r="S20" s="4"/>
      <c r="T20" s="4"/>
      <c r="U20" s="4"/>
      <c r="V20" s="4"/>
      <c r="W20" s="4"/>
      <c r="X20" s="4"/>
      <c r="Y20" s="4"/>
      <c r="Z20" s="4"/>
    </row>
    <row r="21">
      <c r="A21" s="3" t="s">
        <v>845</v>
      </c>
      <c r="B21" s="3" t="s">
        <v>846</v>
      </c>
      <c r="C21" s="3" t="s">
        <v>847</v>
      </c>
      <c r="D21" s="6" t="s">
        <v>669</v>
      </c>
      <c r="E21" s="4"/>
      <c r="F21" s="4"/>
      <c r="G21" s="4"/>
      <c r="H21" s="4"/>
      <c r="I21" s="4"/>
      <c r="J21" s="4"/>
      <c r="K21" s="4"/>
      <c r="L21" s="4"/>
      <c r="M21" s="4"/>
      <c r="N21" s="4"/>
      <c r="O21" s="4"/>
      <c r="P21" s="4"/>
      <c r="Q21" s="4"/>
      <c r="R21" s="4"/>
      <c r="S21" s="4"/>
      <c r="T21" s="4"/>
      <c r="U21" s="4"/>
      <c r="V21" s="4"/>
      <c r="W21" s="4"/>
      <c r="X21" s="4"/>
      <c r="Y21" s="4"/>
      <c r="Z21" s="4"/>
    </row>
    <row r="22">
      <c r="A22" s="3" t="s">
        <v>848</v>
      </c>
      <c r="B22" s="3" t="s">
        <v>849</v>
      </c>
      <c r="C22" s="3" t="s">
        <v>677</v>
      </c>
      <c r="D22" s="6" t="s">
        <v>665</v>
      </c>
      <c r="E22" s="4"/>
      <c r="F22" s="4"/>
      <c r="G22" s="4"/>
      <c r="H22" s="4"/>
      <c r="I22" s="4"/>
      <c r="J22" s="4"/>
      <c r="K22" s="4"/>
      <c r="L22" s="4"/>
      <c r="M22" s="4"/>
      <c r="N22" s="4"/>
      <c r="O22" s="4"/>
      <c r="P22" s="4"/>
      <c r="Q22" s="4"/>
      <c r="R22" s="4"/>
      <c r="S22" s="4"/>
      <c r="T22" s="4"/>
      <c r="U22" s="4"/>
      <c r="V22" s="4"/>
      <c r="W22" s="4"/>
      <c r="X22" s="4"/>
      <c r="Y22" s="4"/>
      <c r="Z22" s="4"/>
    </row>
    <row r="23">
      <c r="A23" s="3" t="s">
        <v>850</v>
      </c>
      <c r="B23" s="3" t="s">
        <v>851</v>
      </c>
      <c r="C23" s="3" t="s">
        <v>852</v>
      </c>
      <c r="D23" s="6" t="s">
        <v>665</v>
      </c>
      <c r="E23" s="4"/>
      <c r="F23" s="4"/>
      <c r="G23" s="4"/>
      <c r="H23" s="4"/>
      <c r="I23" s="4"/>
      <c r="J23" s="4"/>
      <c r="K23" s="4"/>
      <c r="L23" s="4"/>
      <c r="M23" s="4"/>
      <c r="N23" s="4"/>
      <c r="O23" s="4"/>
      <c r="P23" s="4"/>
      <c r="Q23" s="4"/>
      <c r="R23" s="4"/>
      <c r="S23" s="4"/>
      <c r="T23" s="4"/>
      <c r="U23" s="4"/>
      <c r="V23" s="4"/>
      <c r="W23" s="4"/>
      <c r="X23" s="4"/>
      <c r="Y23" s="4"/>
      <c r="Z23" s="4"/>
    </row>
    <row r="24">
      <c r="A24" s="3" t="s">
        <v>853</v>
      </c>
      <c r="B24" s="3" t="s">
        <v>854</v>
      </c>
      <c r="C24" s="3" t="s">
        <v>745</v>
      </c>
      <c r="D24" s="6" t="s">
        <v>669</v>
      </c>
      <c r="E24" s="4"/>
      <c r="F24" s="4"/>
      <c r="G24" s="4"/>
      <c r="H24" s="4"/>
      <c r="I24" s="4"/>
      <c r="J24" s="4"/>
      <c r="K24" s="4"/>
      <c r="L24" s="4"/>
      <c r="M24" s="4"/>
      <c r="N24" s="4"/>
      <c r="O24" s="4"/>
      <c r="P24" s="4"/>
      <c r="Q24" s="4"/>
      <c r="R24" s="4"/>
      <c r="S24" s="4"/>
      <c r="T24" s="4"/>
      <c r="U24" s="4"/>
      <c r="V24" s="4"/>
      <c r="W24" s="4"/>
      <c r="X24" s="4"/>
      <c r="Y24" s="4"/>
      <c r="Z24" s="4"/>
    </row>
    <row r="25">
      <c r="A25" s="3" t="s">
        <v>855</v>
      </c>
      <c r="B25" s="3" t="s">
        <v>856</v>
      </c>
      <c r="C25" s="3" t="s">
        <v>745</v>
      </c>
      <c r="D25" s="6" t="s">
        <v>669</v>
      </c>
      <c r="E25" s="4"/>
      <c r="F25" s="4"/>
      <c r="G25" s="4"/>
      <c r="H25" s="4"/>
      <c r="I25" s="4"/>
      <c r="J25" s="4"/>
      <c r="K25" s="4"/>
      <c r="L25" s="4"/>
      <c r="M25" s="4"/>
      <c r="N25" s="4"/>
      <c r="O25" s="4"/>
      <c r="P25" s="4"/>
      <c r="Q25" s="4"/>
      <c r="R25" s="4"/>
      <c r="S25" s="4"/>
      <c r="T25" s="4"/>
      <c r="U25" s="4"/>
      <c r="V25" s="4"/>
      <c r="W25" s="4"/>
      <c r="X25" s="4"/>
      <c r="Y25" s="4"/>
      <c r="Z25" s="4"/>
    </row>
    <row r="26">
      <c r="A26" s="3" t="s">
        <v>857</v>
      </c>
      <c r="B26" s="3" t="s">
        <v>858</v>
      </c>
      <c r="C26" s="3" t="s">
        <v>677</v>
      </c>
      <c r="D26" s="6" t="s">
        <v>665</v>
      </c>
      <c r="E26" s="4"/>
      <c r="F26" s="4"/>
      <c r="G26" s="4"/>
      <c r="H26" s="4"/>
      <c r="I26" s="4"/>
      <c r="J26" s="4"/>
      <c r="K26" s="4"/>
      <c r="L26" s="4"/>
      <c r="M26" s="4"/>
      <c r="N26" s="4"/>
      <c r="O26" s="4"/>
      <c r="P26" s="4"/>
      <c r="Q26" s="4"/>
      <c r="R26" s="4"/>
      <c r="S26" s="4"/>
      <c r="T26" s="4"/>
      <c r="U26" s="4"/>
      <c r="V26" s="4"/>
      <c r="W26" s="4"/>
      <c r="X26" s="4"/>
      <c r="Y26" s="4"/>
      <c r="Z26" s="4"/>
    </row>
    <row r="27">
      <c r="A27" s="3" t="s">
        <v>859</v>
      </c>
      <c r="B27" s="3" t="s">
        <v>860</v>
      </c>
      <c r="C27" s="3" t="s">
        <v>672</v>
      </c>
      <c r="D27" s="6" t="s">
        <v>669</v>
      </c>
      <c r="E27" s="4"/>
      <c r="F27" s="4"/>
      <c r="G27" s="4"/>
      <c r="H27" s="4"/>
      <c r="I27" s="4"/>
      <c r="J27" s="4"/>
      <c r="K27" s="4"/>
      <c r="L27" s="4"/>
      <c r="M27" s="4"/>
      <c r="N27" s="4"/>
      <c r="O27" s="4"/>
      <c r="P27" s="4"/>
      <c r="Q27" s="4"/>
      <c r="R27" s="4"/>
      <c r="S27" s="4"/>
      <c r="T27" s="4"/>
      <c r="U27" s="4"/>
      <c r="V27" s="4"/>
      <c r="W27" s="4"/>
      <c r="X27" s="4"/>
      <c r="Y27" s="4"/>
      <c r="Z27" s="4"/>
    </row>
    <row r="28">
      <c r="A28" s="3" t="s">
        <v>861</v>
      </c>
      <c r="B28" s="3" t="s">
        <v>682</v>
      </c>
      <c r="C28" s="3" t="s">
        <v>672</v>
      </c>
      <c r="D28" s="6" t="s">
        <v>669</v>
      </c>
      <c r="E28" s="4"/>
      <c r="F28" s="4"/>
      <c r="G28" s="4"/>
      <c r="H28" s="4"/>
      <c r="I28" s="4"/>
      <c r="J28" s="4"/>
      <c r="K28" s="4"/>
      <c r="L28" s="4"/>
      <c r="M28" s="4"/>
      <c r="N28" s="4"/>
      <c r="O28" s="4"/>
      <c r="P28" s="4"/>
      <c r="Q28" s="4"/>
      <c r="R28" s="4"/>
      <c r="S28" s="4"/>
      <c r="T28" s="4"/>
      <c r="U28" s="4"/>
      <c r="V28" s="4"/>
      <c r="W28" s="4"/>
      <c r="X28" s="4"/>
      <c r="Y28" s="4"/>
      <c r="Z28" s="4"/>
    </row>
    <row r="29">
      <c r="A29" s="3" t="s">
        <v>862</v>
      </c>
      <c r="B29" s="3" t="s">
        <v>863</v>
      </c>
      <c r="C29" s="3" t="s">
        <v>672</v>
      </c>
      <c r="D29" s="6" t="s">
        <v>669</v>
      </c>
      <c r="E29" s="4"/>
      <c r="F29" s="4"/>
      <c r="G29" s="4"/>
      <c r="H29" s="4"/>
      <c r="I29" s="4"/>
      <c r="J29" s="4"/>
      <c r="K29" s="4"/>
      <c r="L29" s="4"/>
      <c r="M29" s="4"/>
      <c r="N29" s="4"/>
      <c r="O29" s="4"/>
      <c r="P29" s="4"/>
      <c r="Q29" s="4"/>
      <c r="R29" s="4"/>
      <c r="S29" s="4"/>
      <c r="T29" s="4"/>
      <c r="U29" s="4"/>
      <c r="V29" s="4"/>
      <c r="W29" s="4"/>
      <c r="X29" s="4"/>
      <c r="Y29" s="4"/>
      <c r="Z29" s="4"/>
    </row>
    <row r="30">
      <c r="A30" s="3" t="s">
        <v>864</v>
      </c>
      <c r="B30" s="3" t="s">
        <v>865</v>
      </c>
      <c r="C30" s="3" t="s">
        <v>672</v>
      </c>
      <c r="D30" s="6" t="s">
        <v>669</v>
      </c>
      <c r="E30" s="4"/>
      <c r="F30" s="4"/>
      <c r="G30" s="4"/>
      <c r="H30" s="4"/>
      <c r="I30" s="4"/>
      <c r="J30" s="4"/>
      <c r="K30" s="4"/>
      <c r="L30" s="4"/>
      <c r="M30" s="4"/>
      <c r="N30" s="4"/>
      <c r="O30" s="4"/>
      <c r="P30" s="4"/>
      <c r="Q30" s="4"/>
      <c r="R30" s="4"/>
      <c r="S30" s="4"/>
      <c r="T30" s="4"/>
      <c r="U30" s="4"/>
      <c r="V30" s="4"/>
      <c r="W30" s="4"/>
      <c r="X30" s="4"/>
      <c r="Y30" s="4"/>
      <c r="Z30" s="4"/>
    </row>
    <row r="31">
      <c r="A31" s="3" t="s">
        <v>866</v>
      </c>
      <c r="B31" s="3" t="s">
        <v>867</v>
      </c>
      <c r="C31" s="3" t="s">
        <v>745</v>
      </c>
      <c r="D31" s="6" t="s">
        <v>669</v>
      </c>
      <c r="E31" s="4"/>
      <c r="F31" s="4"/>
      <c r="G31" s="4"/>
      <c r="H31" s="4"/>
      <c r="I31" s="4"/>
      <c r="J31" s="4"/>
      <c r="K31" s="4"/>
      <c r="L31" s="4"/>
      <c r="M31" s="4"/>
      <c r="N31" s="4"/>
      <c r="O31" s="4"/>
      <c r="P31" s="4"/>
      <c r="Q31" s="4"/>
      <c r="R31" s="4"/>
      <c r="S31" s="4"/>
      <c r="T31" s="4"/>
      <c r="U31" s="4"/>
      <c r="V31" s="4"/>
      <c r="W31" s="4"/>
      <c r="X31" s="4"/>
      <c r="Y31" s="4"/>
      <c r="Z31" s="4"/>
    </row>
    <row r="32">
      <c r="A32" s="3" t="s">
        <v>868</v>
      </c>
      <c r="B32" s="3" t="s">
        <v>869</v>
      </c>
      <c r="C32" s="3" t="s">
        <v>672</v>
      </c>
      <c r="D32" s="6" t="s">
        <v>669</v>
      </c>
      <c r="E32" s="4"/>
      <c r="F32" s="4"/>
      <c r="G32" s="4"/>
      <c r="H32" s="4"/>
      <c r="I32" s="4"/>
      <c r="J32" s="4"/>
      <c r="K32" s="4"/>
      <c r="L32" s="4"/>
      <c r="M32" s="4"/>
      <c r="N32" s="4"/>
      <c r="O32" s="4"/>
      <c r="P32" s="4"/>
      <c r="Q32" s="4"/>
      <c r="R32" s="4"/>
      <c r="S32" s="4"/>
      <c r="T32" s="4"/>
      <c r="U32" s="4"/>
      <c r="V32" s="4"/>
      <c r="W32" s="4"/>
      <c r="X32" s="4"/>
      <c r="Y32" s="4"/>
      <c r="Z32" s="4"/>
    </row>
    <row r="33">
      <c r="A33" s="3" t="s">
        <v>870</v>
      </c>
      <c r="B33" s="3" t="s">
        <v>871</v>
      </c>
      <c r="C33" s="3" t="s">
        <v>677</v>
      </c>
      <c r="D33" s="6" t="s">
        <v>669</v>
      </c>
      <c r="E33" s="4"/>
      <c r="F33" s="4"/>
      <c r="G33" s="4"/>
      <c r="H33" s="4"/>
      <c r="I33" s="4"/>
      <c r="J33" s="4"/>
      <c r="K33" s="4"/>
      <c r="L33" s="4"/>
      <c r="M33" s="4"/>
      <c r="N33" s="4"/>
      <c r="O33" s="4"/>
      <c r="P33" s="4"/>
      <c r="Q33" s="4"/>
      <c r="R33" s="4"/>
      <c r="S33" s="4"/>
      <c r="T33" s="4"/>
      <c r="U33" s="4"/>
      <c r="V33" s="4"/>
      <c r="W33" s="4"/>
      <c r="X33" s="4"/>
      <c r="Y33" s="4"/>
      <c r="Z33" s="4"/>
    </row>
    <row r="34">
      <c r="A34" s="3" t="s">
        <v>872</v>
      </c>
      <c r="B34" s="3" t="s">
        <v>873</v>
      </c>
      <c r="C34" s="3" t="s">
        <v>686</v>
      </c>
      <c r="D34" s="6" t="s">
        <v>669</v>
      </c>
      <c r="E34" s="4"/>
      <c r="F34" s="4"/>
      <c r="G34" s="4"/>
      <c r="H34" s="4"/>
      <c r="I34" s="4"/>
      <c r="J34" s="4"/>
      <c r="K34" s="4"/>
      <c r="L34" s="4"/>
      <c r="M34" s="4"/>
      <c r="N34" s="4"/>
      <c r="O34" s="4"/>
      <c r="P34" s="4"/>
      <c r="Q34" s="4"/>
      <c r="R34" s="4"/>
      <c r="S34" s="4"/>
      <c r="T34" s="4"/>
      <c r="U34" s="4"/>
      <c r="V34" s="4"/>
      <c r="W34" s="4"/>
      <c r="X34" s="4"/>
      <c r="Y34" s="4"/>
      <c r="Z34" s="4"/>
    </row>
    <row r="35">
      <c r="A35" s="3" t="s">
        <v>874</v>
      </c>
      <c r="B35" s="3" t="s">
        <v>875</v>
      </c>
      <c r="C35" s="3" t="s">
        <v>677</v>
      </c>
      <c r="D35" s="6" t="s">
        <v>665</v>
      </c>
      <c r="E35" s="4"/>
      <c r="F35" s="4"/>
      <c r="G35" s="4"/>
      <c r="H35" s="4"/>
      <c r="I35" s="4"/>
      <c r="J35" s="4"/>
      <c r="K35" s="4"/>
      <c r="L35" s="4"/>
      <c r="M35" s="4"/>
      <c r="N35" s="4"/>
      <c r="O35" s="4"/>
      <c r="P35" s="4"/>
      <c r="Q35" s="4"/>
      <c r="R35" s="4"/>
      <c r="S35" s="4"/>
      <c r="T35" s="4"/>
      <c r="U35" s="4"/>
      <c r="V35" s="4"/>
      <c r="W35" s="4"/>
      <c r="X35" s="4"/>
      <c r="Y35" s="4"/>
      <c r="Z35" s="4"/>
    </row>
    <row r="36">
      <c r="A36" s="3" t="s">
        <v>876</v>
      </c>
      <c r="B36" s="3" t="s">
        <v>877</v>
      </c>
      <c r="C36" s="3" t="s">
        <v>847</v>
      </c>
      <c r="D36" s="6" t="s">
        <v>669</v>
      </c>
      <c r="E36" s="4"/>
      <c r="F36" s="4"/>
      <c r="G36" s="4"/>
      <c r="H36" s="4"/>
      <c r="I36" s="4"/>
      <c r="J36" s="4"/>
      <c r="K36" s="4"/>
      <c r="L36" s="4"/>
      <c r="M36" s="4"/>
      <c r="N36" s="4"/>
      <c r="O36" s="4"/>
      <c r="P36" s="4"/>
      <c r="Q36" s="4"/>
      <c r="R36" s="4"/>
      <c r="S36" s="4"/>
      <c r="T36" s="4"/>
      <c r="U36" s="4"/>
      <c r="V36" s="4"/>
      <c r="W36" s="4"/>
      <c r="X36" s="4"/>
      <c r="Y36" s="4"/>
      <c r="Z36" s="4"/>
    </row>
    <row r="37">
      <c r="A37" s="3" t="s">
        <v>876</v>
      </c>
      <c r="B37" s="3" t="s">
        <v>878</v>
      </c>
      <c r="C37" s="3" t="s">
        <v>672</v>
      </c>
      <c r="D37" s="6" t="s">
        <v>669</v>
      </c>
      <c r="E37" s="4"/>
      <c r="F37" s="4"/>
      <c r="G37" s="4"/>
      <c r="H37" s="4"/>
      <c r="I37" s="4"/>
      <c r="J37" s="4"/>
      <c r="K37" s="4"/>
      <c r="L37" s="4"/>
      <c r="M37" s="4"/>
      <c r="N37" s="4"/>
      <c r="O37" s="4"/>
      <c r="P37" s="4"/>
      <c r="Q37" s="4"/>
      <c r="R37" s="4"/>
      <c r="S37" s="4"/>
      <c r="T37" s="4"/>
      <c r="U37" s="4"/>
      <c r="V37" s="4"/>
      <c r="W37" s="4"/>
      <c r="X37" s="4"/>
      <c r="Y37" s="4"/>
      <c r="Z37" s="4"/>
    </row>
    <row r="38">
      <c r="A38" s="3" t="s">
        <v>879</v>
      </c>
      <c r="B38" s="3" t="s">
        <v>880</v>
      </c>
      <c r="C38" s="3" t="s">
        <v>745</v>
      </c>
      <c r="D38" s="6" t="s">
        <v>669</v>
      </c>
      <c r="E38" s="4"/>
      <c r="F38" s="4"/>
      <c r="G38" s="4"/>
      <c r="H38" s="4"/>
      <c r="I38" s="4"/>
      <c r="J38" s="4"/>
      <c r="K38" s="4"/>
      <c r="L38" s="4"/>
      <c r="M38" s="4"/>
      <c r="N38" s="4"/>
      <c r="O38" s="4"/>
      <c r="P38" s="4"/>
      <c r="Q38" s="4"/>
      <c r="R38" s="4"/>
      <c r="S38" s="4"/>
      <c r="T38" s="4"/>
      <c r="U38" s="4"/>
      <c r="V38" s="4"/>
      <c r="W38" s="4"/>
      <c r="X38" s="4"/>
      <c r="Y38" s="4"/>
      <c r="Z38" s="4"/>
    </row>
    <row r="39">
      <c r="A39" s="3" t="s">
        <v>881</v>
      </c>
      <c r="B39" s="3" t="s">
        <v>882</v>
      </c>
      <c r="C39" s="3" t="s">
        <v>677</v>
      </c>
      <c r="D39" s="6" t="s">
        <v>665</v>
      </c>
      <c r="E39" s="4"/>
      <c r="F39" s="4"/>
      <c r="G39" s="4"/>
      <c r="H39" s="4"/>
      <c r="I39" s="4"/>
      <c r="J39" s="4"/>
      <c r="K39" s="4"/>
      <c r="L39" s="4"/>
      <c r="M39" s="4"/>
      <c r="N39" s="4"/>
      <c r="O39" s="4"/>
      <c r="P39" s="4"/>
      <c r="Q39" s="4"/>
      <c r="R39" s="4"/>
      <c r="S39" s="4"/>
      <c r="T39" s="4"/>
      <c r="U39" s="4"/>
      <c r="V39" s="4"/>
      <c r="W39" s="4"/>
      <c r="X39" s="4"/>
      <c r="Y39" s="4"/>
      <c r="Z39" s="4"/>
    </row>
    <row r="40">
      <c r="A40" s="3" t="s">
        <v>883</v>
      </c>
      <c r="B40" s="3" t="s">
        <v>884</v>
      </c>
      <c r="C40" s="3" t="s">
        <v>745</v>
      </c>
      <c r="D40" s="6" t="s">
        <v>669</v>
      </c>
      <c r="E40" s="4"/>
      <c r="F40" s="4"/>
      <c r="G40" s="4"/>
      <c r="H40" s="4"/>
      <c r="I40" s="4"/>
      <c r="J40" s="4"/>
      <c r="K40" s="4"/>
      <c r="L40" s="4"/>
      <c r="M40" s="4"/>
      <c r="N40" s="4"/>
      <c r="O40" s="4"/>
      <c r="P40" s="4"/>
      <c r="Q40" s="4"/>
      <c r="R40" s="4"/>
      <c r="S40" s="4"/>
      <c r="T40" s="4"/>
      <c r="U40" s="4"/>
      <c r="V40" s="4"/>
      <c r="W40" s="4"/>
      <c r="X40" s="4"/>
      <c r="Y40" s="4"/>
      <c r="Z40" s="4"/>
    </row>
    <row r="41">
      <c r="A41" s="3" t="s">
        <v>885</v>
      </c>
      <c r="B41" s="3" t="s">
        <v>886</v>
      </c>
      <c r="C41" s="3" t="s">
        <v>745</v>
      </c>
      <c r="D41" s="6" t="s">
        <v>669</v>
      </c>
      <c r="E41" s="4"/>
      <c r="F41" s="4"/>
      <c r="G41" s="4"/>
      <c r="H41" s="4"/>
      <c r="I41" s="4"/>
      <c r="J41" s="4"/>
      <c r="K41" s="4"/>
      <c r="L41" s="4"/>
      <c r="M41" s="4"/>
      <c r="N41" s="4"/>
      <c r="O41" s="4"/>
      <c r="P41" s="4"/>
      <c r="Q41" s="4"/>
      <c r="R41" s="4"/>
      <c r="S41" s="4"/>
      <c r="T41" s="4"/>
      <c r="U41" s="4"/>
      <c r="V41" s="4"/>
      <c r="W41" s="4"/>
      <c r="X41" s="4"/>
      <c r="Y41" s="4"/>
      <c r="Z41" s="4"/>
    </row>
    <row r="42">
      <c r="A42" s="3" t="s">
        <v>887</v>
      </c>
      <c r="B42" s="3" t="s">
        <v>888</v>
      </c>
      <c r="C42" s="3" t="s">
        <v>745</v>
      </c>
      <c r="D42" s="6" t="s">
        <v>669</v>
      </c>
      <c r="E42" s="4"/>
      <c r="F42" s="4"/>
      <c r="G42" s="4"/>
      <c r="H42" s="4"/>
      <c r="I42" s="4"/>
      <c r="J42" s="4"/>
      <c r="K42" s="4"/>
      <c r="L42" s="4"/>
      <c r="M42" s="4"/>
      <c r="N42" s="4"/>
      <c r="O42" s="4"/>
      <c r="P42" s="4"/>
      <c r="Q42" s="4"/>
      <c r="R42" s="4"/>
      <c r="S42" s="4"/>
      <c r="T42" s="4"/>
      <c r="U42" s="4"/>
      <c r="V42" s="4"/>
      <c r="W42" s="4"/>
      <c r="X42" s="4"/>
      <c r="Y42" s="4"/>
      <c r="Z42" s="4"/>
    </row>
    <row r="43">
      <c r="A43" s="3" t="s">
        <v>889</v>
      </c>
      <c r="B43" s="3" t="s">
        <v>890</v>
      </c>
      <c r="C43" s="3" t="s">
        <v>745</v>
      </c>
      <c r="D43" s="6" t="s">
        <v>669</v>
      </c>
      <c r="E43" s="4"/>
      <c r="F43" s="4"/>
      <c r="G43" s="4"/>
      <c r="H43" s="4"/>
      <c r="I43" s="4"/>
      <c r="J43" s="4"/>
      <c r="K43" s="4"/>
      <c r="L43" s="4"/>
      <c r="M43" s="4"/>
      <c r="N43" s="4"/>
      <c r="O43" s="4"/>
      <c r="P43" s="4"/>
      <c r="Q43" s="4"/>
      <c r="R43" s="4"/>
      <c r="S43" s="4"/>
      <c r="T43" s="4"/>
      <c r="U43" s="4"/>
      <c r="V43" s="4"/>
      <c r="W43" s="4"/>
      <c r="X43" s="4"/>
      <c r="Y43" s="4"/>
      <c r="Z43" s="4"/>
    </row>
    <row r="44">
      <c r="A44" s="3" t="s">
        <v>891</v>
      </c>
      <c r="B44" s="3" t="s">
        <v>240</v>
      </c>
      <c r="C44" s="3" t="s">
        <v>745</v>
      </c>
      <c r="D44" s="6" t="s">
        <v>665</v>
      </c>
      <c r="E44" s="4"/>
      <c r="F44" s="4"/>
      <c r="G44" s="4"/>
      <c r="H44" s="4"/>
      <c r="I44" s="4"/>
      <c r="J44" s="4"/>
      <c r="K44" s="4"/>
      <c r="L44" s="4"/>
      <c r="M44" s="4"/>
      <c r="N44" s="4"/>
      <c r="O44" s="4"/>
      <c r="P44" s="4"/>
      <c r="Q44" s="4"/>
      <c r="R44" s="4"/>
      <c r="S44" s="4"/>
      <c r="T44" s="4"/>
      <c r="U44" s="4"/>
      <c r="V44" s="4"/>
      <c r="W44" s="4"/>
      <c r="X44" s="4"/>
      <c r="Y44" s="4"/>
      <c r="Z44" s="4"/>
    </row>
    <row r="45">
      <c r="A45" s="3" t="s">
        <v>892</v>
      </c>
      <c r="B45" s="3" t="s">
        <v>893</v>
      </c>
      <c r="C45" s="3" t="s">
        <v>672</v>
      </c>
      <c r="D45" s="6" t="s">
        <v>669</v>
      </c>
      <c r="E45" s="4"/>
      <c r="F45" s="4"/>
      <c r="G45" s="4"/>
      <c r="H45" s="4"/>
      <c r="I45" s="4"/>
      <c r="J45" s="4"/>
      <c r="K45" s="4"/>
      <c r="L45" s="4"/>
      <c r="M45" s="4"/>
      <c r="N45" s="4"/>
      <c r="O45" s="4"/>
      <c r="P45" s="4"/>
      <c r="Q45" s="4"/>
      <c r="R45" s="4"/>
      <c r="S45" s="4"/>
      <c r="T45" s="4"/>
      <c r="U45" s="4"/>
      <c r="V45" s="4"/>
      <c r="W45" s="4"/>
      <c r="X45" s="4"/>
      <c r="Y45" s="4"/>
      <c r="Z45" s="4"/>
    </row>
    <row r="46">
      <c r="A46" s="3" t="s">
        <v>894</v>
      </c>
      <c r="B46" s="3" t="s">
        <v>895</v>
      </c>
      <c r="C46" s="3" t="s">
        <v>672</v>
      </c>
      <c r="D46" s="6" t="s">
        <v>669</v>
      </c>
      <c r="E46" s="4"/>
      <c r="F46" s="4"/>
      <c r="G46" s="4"/>
      <c r="H46" s="4"/>
      <c r="I46" s="4"/>
      <c r="J46" s="4"/>
      <c r="K46" s="4"/>
      <c r="L46" s="4"/>
      <c r="M46" s="4"/>
      <c r="N46" s="4"/>
      <c r="O46" s="4"/>
      <c r="P46" s="4"/>
      <c r="Q46" s="4"/>
      <c r="R46" s="4"/>
      <c r="S46" s="4"/>
      <c r="T46" s="4"/>
      <c r="U46" s="4"/>
      <c r="V46" s="4"/>
      <c r="W46" s="4"/>
      <c r="X46" s="4"/>
      <c r="Y46" s="4"/>
      <c r="Z46" s="4"/>
    </row>
    <row r="47">
      <c r="A47" s="3" t="s">
        <v>896</v>
      </c>
      <c r="B47" s="3" t="s">
        <v>897</v>
      </c>
      <c r="C47" s="3" t="s">
        <v>898</v>
      </c>
      <c r="D47" s="6" t="s">
        <v>669</v>
      </c>
      <c r="E47" s="4"/>
      <c r="F47" s="4"/>
      <c r="G47" s="4"/>
      <c r="H47" s="4"/>
      <c r="I47" s="4"/>
      <c r="J47" s="4"/>
      <c r="K47" s="4"/>
      <c r="L47" s="4"/>
      <c r="M47" s="4"/>
      <c r="N47" s="4"/>
      <c r="O47" s="4"/>
      <c r="P47" s="4"/>
      <c r="Q47" s="4"/>
      <c r="R47" s="4"/>
      <c r="S47" s="4"/>
      <c r="T47" s="4"/>
      <c r="U47" s="4"/>
      <c r="V47" s="4"/>
      <c r="W47" s="4"/>
      <c r="X47" s="4"/>
      <c r="Y47" s="4"/>
      <c r="Z47" s="4"/>
    </row>
    <row r="48">
      <c r="A48" s="3" t="s">
        <v>899</v>
      </c>
      <c r="B48" s="3" t="s">
        <v>900</v>
      </c>
      <c r="C48" s="3" t="s">
        <v>901</v>
      </c>
      <c r="D48" s="6" t="s">
        <v>669</v>
      </c>
      <c r="E48" s="4"/>
      <c r="F48" s="4"/>
      <c r="G48" s="4"/>
      <c r="H48" s="4"/>
      <c r="I48" s="4"/>
      <c r="J48" s="4"/>
      <c r="K48" s="4"/>
      <c r="L48" s="4"/>
      <c r="M48" s="4"/>
      <c r="N48" s="4"/>
      <c r="O48" s="4"/>
      <c r="P48" s="4"/>
      <c r="Q48" s="4"/>
      <c r="R48" s="4"/>
      <c r="S48" s="4"/>
      <c r="T48" s="4"/>
      <c r="U48" s="4"/>
      <c r="V48" s="4"/>
      <c r="W48" s="4"/>
      <c r="X48" s="4"/>
      <c r="Y48" s="4"/>
      <c r="Z48" s="4"/>
    </row>
    <row r="49">
      <c r="A49" s="3" t="s">
        <v>604</v>
      </c>
      <c r="B49" s="3" t="s">
        <v>902</v>
      </c>
      <c r="C49" s="3" t="s">
        <v>830</v>
      </c>
      <c r="D49" s="6" t="s">
        <v>669</v>
      </c>
      <c r="E49" s="4"/>
      <c r="F49" s="4"/>
      <c r="G49" s="4"/>
      <c r="H49" s="4"/>
      <c r="I49" s="4"/>
      <c r="J49" s="4"/>
      <c r="K49" s="4"/>
      <c r="L49" s="4"/>
      <c r="M49" s="4"/>
      <c r="N49" s="4"/>
      <c r="O49" s="4"/>
      <c r="P49" s="4"/>
      <c r="Q49" s="4"/>
      <c r="R49" s="4"/>
      <c r="S49" s="4"/>
      <c r="T49" s="4"/>
      <c r="U49" s="4"/>
      <c r="V49" s="4"/>
      <c r="W49" s="4"/>
      <c r="X49" s="4"/>
      <c r="Y49" s="4"/>
      <c r="Z49" s="4"/>
    </row>
    <row r="50">
      <c r="A50" s="3" t="s">
        <v>903</v>
      </c>
      <c r="B50" s="3" t="s">
        <v>904</v>
      </c>
      <c r="C50" s="3" t="s">
        <v>745</v>
      </c>
      <c r="D50" s="6" t="s">
        <v>669</v>
      </c>
      <c r="E50" s="4"/>
      <c r="F50" s="4"/>
      <c r="G50" s="4"/>
      <c r="H50" s="4"/>
      <c r="I50" s="4"/>
      <c r="J50" s="4"/>
      <c r="K50" s="4"/>
      <c r="L50" s="4"/>
      <c r="M50" s="4"/>
      <c r="N50" s="4"/>
      <c r="O50" s="4"/>
      <c r="P50" s="4"/>
      <c r="Q50" s="4"/>
      <c r="R50" s="4"/>
      <c r="S50" s="4"/>
      <c r="T50" s="4"/>
      <c r="U50" s="4"/>
      <c r="V50" s="4"/>
      <c r="W50" s="4"/>
      <c r="X50" s="4"/>
      <c r="Y50" s="4"/>
      <c r="Z50" s="4"/>
    </row>
    <row r="51">
      <c r="A51" s="4"/>
      <c r="B51" s="4"/>
      <c r="C51" s="4"/>
      <c r="D51" s="7"/>
      <c r="E51" s="4"/>
      <c r="F51" s="4"/>
      <c r="G51" s="4"/>
      <c r="H51" s="4"/>
      <c r="I51" s="4"/>
      <c r="J51" s="4"/>
      <c r="K51" s="4"/>
      <c r="L51" s="4"/>
      <c r="M51" s="4"/>
      <c r="N51" s="4"/>
      <c r="O51" s="4"/>
      <c r="P51" s="4"/>
      <c r="Q51" s="4"/>
      <c r="R51" s="4"/>
      <c r="S51" s="4"/>
      <c r="T51" s="4"/>
      <c r="U51" s="4"/>
      <c r="V51" s="4"/>
      <c r="W51" s="4"/>
      <c r="X51" s="4"/>
      <c r="Y51" s="4"/>
      <c r="Z51" s="4"/>
    </row>
    <row r="52">
      <c r="A52" s="4"/>
      <c r="B52" s="4"/>
      <c r="C52" s="4"/>
      <c r="D52" s="7"/>
      <c r="E52" s="4"/>
      <c r="F52" s="4"/>
      <c r="G52" s="4"/>
      <c r="H52" s="4"/>
      <c r="I52" s="4"/>
      <c r="J52" s="4"/>
      <c r="K52" s="4"/>
      <c r="L52" s="4"/>
      <c r="M52" s="4"/>
      <c r="N52" s="4"/>
      <c r="O52" s="4"/>
      <c r="P52" s="4"/>
      <c r="Q52" s="4"/>
      <c r="R52" s="4"/>
      <c r="S52" s="4"/>
      <c r="T52" s="4"/>
      <c r="U52" s="4"/>
      <c r="V52" s="4"/>
      <c r="W52" s="4"/>
      <c r="X52" s="4"/>
      <c r="Y52" s="4"/>
      <c r="Z52" s="4"/>
    </row>
    <row r="53">
      <c r="A53" s="4"/>
      <c r="B53" s="4"/>
      <c r="C53" s="4"/>
      <c r="D53" s="7"/>
      <c r="E53" s="4"/>
      <c r="F53" s="4"/>
      <c r="G53" s="4"/>
      <c r="H53" s="4"/>
      <c r="I53" s="4"/>
      <c r="J53" s="4"/>
      <c r="K53" s="4"/>
      <c r="L53" s="4"/>
      <c r="M53" s="4"/>
      <c r="N53" s="4"/>
      <c r="O53" s="4"/>
      <c r="P53" s="4"/>
      <c r="Q53" s="4"/>
      <c r="R53" s="4"/>
      <c r="S53" s="4"/>
      <c r="T53" s="4"/>
      <c r="U53" s="4"/>
      <c r="V53" s="4"/>
      <c r="W53" s="4"/>
      <c r="X53" s="4"/>
      <c r="Y53" s="4"/>
      <c r="Z53" s="4"/>
    </row>
    <row r="54">
      <c r="A54" s="4"/>
      <c r="B54" s="4"/>
      <c r="C54" s="4"/>
      <c r="D54" s="7"/>
      <c r="E54" s="4"/>
      <c r="F54" s="4"/>
      <c r="G54" s="4"/>
      <c r="H54" s="4"/>
      <c r="I54" s="4"/>
      <c r="J54" s="4"/>
      <c r="K54" s="4"/>
      <c r="L54" s="4"/>
      <c r="M54" s="4"/>
      <c r="N54" s="4"/>
      <c r="O54" s="4"/>
      <c r="P54" s="4"/>
      <c r="Q54" s="4"/>
      <c r="R54" s="4"/>
      <c r="S54" s="4"/>
      <c r="T54" s="4"/>
      <c r="U54" s="4"/>
      <c r="V54" s="4"/>
      <c r="W54" s="4"/>
      <c r="X54" s="4"/>
      <c r="Y54" s="4"/>
      <c r="Z54" s="4"/>
    </row>
    <row r="55">
      <c r="A55" s="4"/>
      <c r="B55" s="4"/>
      <c r="C55" s="4"/>
      <c r="D55" s="7"/>
      <c r="E55" s="4"/>
      <c r="F55" s="4"/>
      <c r="G55" s="4"/>
      <c r="H55" s="4"/>
      <c r="I55" s="4"/>
      <c r="J55" s="4"/>
      <c r="K55" s="4"/>
      <c r="L55" s="4"/>
      <c r="M55" s="4"/>
      <c r="N55" s="4"/>
      <c r="O55" s="4"/>
      <c r="P55" s="4"/>
      <c r="Q55" s="4"/>
      <c r="R55" s="4"/>
      <c r="S55" s="4"/>
      <c r="T55" s="4"/>
      <c r="U55" s="4"/>
      <c r="V55" s="4"/>
      <c r="W55" s="4"/>
      <c r="X55" s="4"/>
      <c r="Y55" s="4"/>
      <c r="Z55" s="4"/>
    </row>
    <row r="56">
      <c r="A56" s="4"/>
      <c r="B56" s="4"/>
      <c r="C56" s="4"/>
      <c r="D56" s="7"/>
      <c r="E56" s="4"/>
      <c r="F56" s="4"/>
      <c r="G56" s="4"/>
      <c r="H56" s="4"/>
      <c r="I56" s="4"/>
      <c r="J56" s="4"/>
      <c r="K56" s="4"/>
      <c r="L56" s="4"/>
      <c r="M56" s="4"/>
      <c r="N56" s="4"/>
      <c r="O56" s="4"/>
      <c r="P56" s="4"/>
      <c r="Q56" s="4"/>
      <c r="R56" s="4"/>
      <c r="S56" s="4"/>
      <c r="T56" s="4"/>
      <c r="U56" s="4"/>
      <c r="V56" s="4"/>
      <c r="W56" s="4"/>
      <c r="X56" s="4"/>
      <c r="Y56" s="4"/>
      <c r="Z56" s="4"/>
    </row>
    <row r="57">
      <c r="A57" s="4"/>
      <c r="B57" s="4"/>
      <c r="C57" s="4"/>
      <c r="D57" s="7"/>
      <c r="E57" s="4"/>
      <c r="F57" s="4"/>
      <c r="G57" s="4"/>
      <c r="H57" s="4"/>
      <c r="I57" s="4"/>
      <c r="J57" s="4"/>
      <c r="K57" s="4"/>
      <c r="L57" s="4"/>
      <c r="M57" s="4"/>
      <c r="N57" s="4"/>
      <c r="O57" s="4"/>
      <c r="P57" s="4"/>
      <c r="Q57" s="4"/>
      <c r="R57" s="4"/>
      <c r="S57" s="4"/>
      <c r="T57" s="4"/>
      <c r="U57" s="4"/>
      <c r="V57" s="4"/>
      <c r="W57" s="4"/>
      <c r="X57" s="4"/>
      <c r="Y57" s="4"/>
      <c r="Z57" s="4"/>
    </row>
    <row r="58">
      <c r="A58" s="4"/>
      <c r="B58" s="4"/>
      <c r="C58" s="4"/>
      <c r="D58" s="7"/>
      <c r="E58" s="4"/>
      <c r="F58" s="4"/>
      <c r="G58" s="4"/>
      <c r="H58" s="4"/>
      <c r="I58" s="4"/>
      <c r="J58" s="4"/>
      <c r="K58" s="4"/>
      <c r="L58" s="4"/>
      <c r="M58" s="4"/>
      <c r="N58" s="4"/>
      <c r="O58" s="4"/>
      <c r="P58" s="4"/>
      <c r="Q58" s="4"/>
      <c r="R58" s="4"/>
      <c r="S58" s="4"/>
      <c r="T58" s="4"/>
      <c r="U58" s="4"/>
      <c r="V58" s="4"/>
      <c r="W58" s="4"/>
      <c r="X58" s="4"/>
      <c r="Y58" s="4"/>
      <c r="Z58" s="4"/>
    </row>
    <row r="59">
      <c r="A59" s="4"/>
      <c r="B59" s="4"/>
      <c r="C59" s="4"/>
      <c r="D59" s="7"/>
      <c r="E59" s="4"/>
      <c r="F59" s="4"/>
      <c r="G59" s="4"/>
      <c r="H59" s="4"/>
      <c r="I59" s="4"/>
      <c r="J59" s="4"/>
      <c r="K59" s="4"/>
      <c r="L59" s="4"/>
      <c r="M59" s="4"/>
      <c r="N59" s="4"/>
      <c r="O59" s="4"/>
      <c r="P59" s="4"/>
      <c r="Q59" s="4"/>
      <c r="R59" s="4"/>
      <c r="S59" s="4"/>
      <c r="T59" s="4"/>
      <c r="U59" s="4"/>
      <c r="V59" s="4"/>
      <c r="W59" s="4"/>
      <c r="X59" s="4"/>
      <c r="Y59" s="4"/>
      <c r="Z59" s="4"/>
    </row>
    <row r="60">
      <c r="A60" s="4"/>
      <c r="B60" s="4"/>
      <c r="C60" s="4"/>
      <c r="D60" s="7"/>
      <c r="E60" s="4"/>
      <c r="F60" s="4"/>
      <c r="G60" s="4"/>
      <c r="H60" s="4"/>
      <c r="I60" s="4"/>
      <c r="J60" s="4"/>
      <c r="K60" s="4"/>
      <c r="L60" s="4"/>
      <c r="M60" s="4"/>
      <c r="N60" s="4"/>
      <c r="O60" s="4"/>
      <c r="P60" s="4"/>
      <c r="Q60" s="4"/>
      <c r="R60" s="4"/>
      <c r="S60" s="4"/>
      <c r="T60" s="4"/>
      <c r="U60" s="4"/>
      <c r="V60" s="4"/>
      <c r="W60" s="4"/>
      <c r="X60" s="4"/>
      <c r="Y60" s="4"/>
      <c r="Z60" s="4"/>
    </row>
    <row r="61">
      <c r="A61" s="4"/>
      <c r="B61" s="4"/>
      <c r="C61" s="4"/>
      <c r="D61" s="7"/>
      <c r="E61" s="4"/>
      <c r="F61" s="4"/>
      <c r="G61" s="4"/>
      <c r="H61" s="4"/>
      <c r="I61" s="4"/>
      <c r="J61" s="4"/>
      <c r="K61" s="4"/>
      <c r="L61" s="4"/>
      <c r="M61" s="4"/>
      <c r="N61" s="4"/>
      <c r="O61" s="4"/>
      <c r="P61" s="4"/>
      <c r="Q61" s="4"/>
      <c r="R61" s="4"/>
      <c r="S61" s="4"/>
      <c r="T61" s="4"/>
      <c r="U61" s="4"/>
      <c r="V61" s="4"/>
      <c r="W61" s="4"/>
      <c r="X61" s="4"/>
      <c r="Y61" s="4"/>
      <c r="Z61" s="4"/>
    </row>
    <row r="62">
      <c r="A62" s="4"/>
      <c r="B62" s="4"/>
      <c r="C62" s="4"/>
      <c r="D62" s="7"/>
      <c r="E62" s="4"/>
      <c r="F62" s="4"/>
      <c r="G62" s="4"/>
      <c r="H62" s="4"/>
      <c r="I62" s="4"/>
      <c r="J62" s="4"/>
      <c r="K62" s="4"/>
      <c r="L62" s="4"/>
      <c r="M62" s="4"/>
      <c r="N62" s="4"/>
      <c r="O62" s="4"/>
      <c r="P62" s="4"/>
      <c r="Q62" s="4"/>
      <c r="R62" s="4"/>
      <c r="S62" s="4"/>
      <c r="T62" s="4"/>
      <c r="U62" s="4"/>
      <c r="V62" s="4"/>
      <c r="W62" s="4"/>
      <c r="X62" s="4"/>
      <c r="Y62" s="4"/>
      <c r="Z62" s="4"/>
    </row>
    <row r="63">
      <c r="A63" s="4"/>
      <c r="B63" s="4"/>
      <c r="C63" s="4"/>
      <c r="D63" s="7"/>
      <c r="E63" s="4"/>
      <c r="F63" s="4"/>
      <c r="G63" s="4"/>
      <c r="H63" s="4"/>
      <c r="I63" s="4"/>
      <c r="J63" s="4"/>
      <c r="K63" s="4"/>
      <c r="L63" s="4"/>
      <c r="M63" s="4"/>
      <c r="N63" s="4"/>
      <c r="O63" s="4"/>
      <c r="P63" s="4"/>
      <c r="Q63" s="4"/>
      <c r="R63" s="4"/>
      <c r="S63" s="4"/>
      <c r="T63" s="4"/>
      <c r="U63" s="4"/>
      <c r="V63" s="4"/>
      <c r="W63" s="4"/>
      <c r="X63" s="4"/>
      <c r="Y63" s="4"/>
      <c r="Z63" s="4"/>
    </row>
    <row r="64">
      <c r="A64" s="4"/>
      <c r="B64" s="4"/>
      <c r="C64" s="4"/>
      <c r="D64" s="7"/>
      <c r="E64" s="4"/>
      <c r="F64" s="4"/>
      <c r="G64" s="4"/>
      <c r="H64" s="4"/>
      <c r="I64" s="4"/>
      <c r="J64" s="4"/>
      <c r="K64" s="4"/>
      <c r="L64" s="4"/>
      <c r="M64" s="4"/>
      <c r="N64" s="4"/>
      <c r="O64" s="4"/>
      <c r="P64" s="4"/>
      <c r="Q64" s="4"/>
      <c r="R64" s="4"/>
      <c r="S64" s="4"/>
      <c r="T64" s="4"/>
      <c r="U64" s="4"/>
      <c r="V64" s="4"/>
      <c r="W64" s="4"/>
      <c r="X64" s="4"/>
      <c r="Y64" s="4"/>
      <c r="Z64" s="4"/>
    </row>
    <row r="65">
      <c r="A65" s="4"/>
      <c r="B65" s="4"/>
      <c r="C65" s="4"/>
      <c r="D65" s="7"/>
      <c r="E65" s="4"/>
      <c r="F65" s="4"/>
      <c r="G65" s="4"/>
      <c r="H65" s="4"/>
      <c r="I65" s="4"/>
      <c r="J65" s="4"/>
      <c r="K65" s="4"/>
      <c r="L65" s="4"/>
      <c r="M65" s="4"/>
      <c r="N65" s="4"/>
      <c r="O65" s="4"/>
      <c r="P65" s="4"/>
      <c r="Q65" s="4"/>
      <c r="R65" s="4"/>
      <c r="S65" s="4"/>
      <c r="T65" s="4"/>
      <c r="U65" s="4"/>
      <c r="V65" s="4"/>
      <c r="W65" s="4"/>
      <c r="X65" s="4"/>
      <c r="Y65" s="4"/>
      <c r="Z65" s="4"/>
    </row>
    <row r="66">
      <c r="A66" s="4"/>
      <c r="B66" s="4"/>
      <c r="C66" s="4"/>
      <c r="D66" s="7"/>
      <c r="E66" s="4"/>
      <c r="F66" s="4"/>
      <c r="G66" s="4"/>
      <c r="H66" s="4"/>
      <c r="I66" s="4"/>
      <c r="J66" s="4"/>
      <c r="K66" s="4"/>
      <c r="L66" s="4"/>
      <c r="M66" s="4"/>
      <c r="N66" s="4"/>
      <c r="O66" s="4"/>
      <c r="P66" s="4"/>
      <c r="Q66" s="4"/>
      <c r="R66" s="4"/>
      <c r="S66" s="4"/>
      <c r="T66" s="4"/>
      <c r="U66" s="4"/>
      <c r="V66" s="4"/>
      <c r="W66" s="4"/>
      <c r="X66" s="4"/>
      <c r="Y66" s="4"/>
      <c r="Z66" s="4"/>
    </row>
    <row r="67">
      <c r="A67" s="4"/>
      <c r="B67" s="4"/>
      <c r="C67" s="4"/>
      <c r="D67" s="7"/>
      <c r="E67" s="4"/>
      <c r="F67" s="4"/>
      <c r="G67" s="4"/>
      <c r="H67" s="4"/>
      <c r="I67" s="4"/>
      <c r="J67" s="4"/>
      <c r="K67" s="4"/>
      <c r="L67" s="4"/>
      <c r="M67" s="4"/>
      <c r="N67" s="4"/>
      <c r="O67" s="4"/>
      <c r="P67" s="4"/>
      <c r="Q67" s="4"/>
      <c r="R67" s="4"/>
      <c r="S67" s="4"/>
      <c r="T67" s="4"/>
      <c r="U67" s="4"/>
      <c r="V67" s="4"/>
      <c r="W67" s="4"/>
      <c r="X67" s="4"/>
      <c r="Y67" s="4"/>
      <c r="Z67" s="4"/>
    </row>
    <row r="68">
      <c r="A68" s="4"/>
      <c r="B68" s="4"/>
      <c r="C68" s="4"/>
      <c r="D68" s="7"/>
      <c r="E68" s="4"/>
      <c r="F68" s="4"/>
      <c r="G68" s="4"/>
      <c r="H68" s="4"/>
      <c r="I68" s="4"/>
      <c r="J68" s="4"/>
      <c r="K68" s="4"/>
      <c r="L68" s="4"/>
      <c r="M68" s="4"/>
      <c r="N68" s="4"/>
      <c r="O68" s="4"/>
      <c r="P68" s="4"/>
      <c r="Q68" s="4"/>
      <c r="R68" s="4"/>
      <c r="S68" s="4"/>
      <c r="T68" s="4"/>
      <c r="U68" s="4"/>
      <c r="V68" s="4"/>
      <c r="W68" s="4"/>
      <c r="X68" s="4"/>
      <c r="Y68" s="4"/>
      <c r="Z68" s="4"/>
    </row>
    <row r="69">
      <c r="A69" s="4"/>
      <c r="B69" s="4"/>
      <c r="C69" s="4"/>
      <c r="D69" s="7"/>
      <c r="E69" s="4"/>
      <c r="F69" s="4"/>
      <c r="G69" s="4"/>
      <c r="H69" s="4"/>
      <c r="I69" s="4"/>
      <c r="J69" s="4"/>
      <c r="K69" s="4"/>
      <c r="L69" s="4"/>
      <c r="M69" s="4"/>
      <c r="N69" s="4"/>
      <c r="O69" s="4"/>
      <c r="P69" s="4"/>
      <c r="Q69" s="4"/>
      <c r="R69" s="4"/>
      <c r="S69" s="4"/>
      <c r="T69" s="4"/>
      <c r="U69" s="4"/>
      <c r="V69" s="4"/>
      <c r="W69" s="4"/>
      <c r="X69" s="4"/>
      <c r="Y69" s="4"/>
      <c r="Z69" s="4"/>
    </row>
    <row r="70">
      <c r="A70" s="4"/>
      <c r="B70" s="4"/>
      <c r="C70" s="4"/>
      <c r="D70" s="7"/>
      <c r="E70" s="4"/>
      <c r="F70" s="4"/>
      <c r="G70" s="4"/>
      <c r="H70" s="4"/>
      <c r="I70" s="4"/>
      <c r="J70" s="4"/>
      <c r="K70" s="4"/>
      <c r="L70" s="4"/>
      <c r="M70" s="4"/>
      <c r="N70" s="4"/>
      <c r="O70" s="4"/>
      <c r="P70" s="4"/>
      <c r="Q70" s="4"/>
      <c r="R70" s="4"/>
      <c r="S70" s="4"/>
      <c r="T70" s="4"/>
      <c r="U70" s="4"/>
      <c r="V70" s="4"/>
      <c r="W70" s="4"/>
      <c r="X70" s="4"/>
      <c r="Y70" s="4"/>
      <c r="Z70" s="4"/>
    </row>
    <row r="71">
      <c r="A71" s="4"/>
      <c r="B71" s="4"/>
      <c r="C71" s="4"/>
      <c r="D71" s="7"/>
      <c r="E71" s="4"/>
      <c r="F71" s="4"/>
      <c r="G71" s="4"/>
      <c r="H71" s="4"/>
      <c r="I71" s="4"/>
      <c r="J71" s="4"/>
      <c r="K71" s="4"/>
      <c r="L71" s="4"/>
      <c r="M71" s="4"/>
      <c r="N71" s="4"/>
      <c r="O71" s="4"/>
      <c r="P71" s="4"/>
      <c r="Q71" s="4"/>
      <c r="R71" s="4"/>
      <c r="S71" s="4"/>
      <c r="T71" s="4"/>
      <c r="U71" s="4"/>
      <c r="V71" s="4"/>
      <c r="W71" s="4"/>
      <c r="X71" s="4"/>
      <c r="Y71" s="4"/>
      <c r="Z71" s="4"/>
    </row>
    <row r="72">
      <c r="A72" s="4"/>
      <c r="B72" s="4"/>
      <c r="C72" s="4"/>
      <c r="D72" s="7"/>
      <c r="E72" s="4"/>
      <c r="F72" s="4"/>
      <c r="G72" s="4"/>
      <c r="H72" s="4"/>
      <c r="I72" s="4"/>
      <c r="J72" s="4"/>
      <c r="K72" s="4"/>
      <c r="L72" s="4"/>
      <c r="M72" s="4"/>
      <c r="N72" s="4"/>
      <c r="O72" s="4"/>
      <c r="P72" s="4"/>
      <c r="Q72" s="4"/>
      <c r="R72" s="4"/>
      <c r="S72" s="4"/>
      <c r="T72" s="4"/>
      <c r="U72" s="4"/>
      <c r="V72" s="4"/>
      <c r="W72" s="4"/>
      <c r="X72" s="4"/>
      <c r="Y72" s="4"/>
      <c r="Z72" s="4"/>
    </row>
    <row r="73">
      <c r="A73" s="4"/>
      <c r="B73" s="4"/>
      <c r="C73" s="4"/>
      <c r="D73" s="7"/>
      <c r="E73" s="4"/>
      <c r="F73" s="4"/>
      <c r="G73" s="4"/>
      <c r="H73" s="4"/>
      <c r="I73" s="4"/>
      <c r="J73" s="4"/>
      <c r="K73" s="4"/>
      <c r="L73" s="4"/>
      <c r="M73" s="4"/>
      <c r="N73" s="4"/>
      <c r="O73" s="4"/>
      <c r="P73" s="4"/>
      <c r="Q73" s="4"/>
      <c r="R73" s="4"/>
      <c r="S73" s="4"/>
      <c r="T73" s="4"/>
      <c r="U73" s="4"/>
      <c r="V73" s="4"/>
      <c r="W73" s="4"/>
      <c r="X73" s="4"/>
      <c r="Y73" s="4"/>
      <c r="Z73" s="4"/>
    </row>
    <row r="74">
      <c r="A74" s="4"/>
      <c r="B74" s="4"/>
      <c r="C74" s="4"/>
      <c r="D74" s="7"/>
      <c r="E74" s="4"/>
      <c r="F74" s="4"/>
      <c r="G74" s="4"/>
      <c r="H74" s="4"/>
      <c r="I74" s="4"/>
      <c r="J74" s="4"/>
      <c r="K74" s="4"/>
      <c r="L74" s="4"/>
      <c r="M74" s="4"/>
      <c r="N74" s="4"/>
      <c r="O74" s="4"/>
      <c r="P74" s="4"/>
      <c r="Q74" s="4"/>
      <c r="R74" s="4"/>
      <c r="S74" s="4"/>
      <c r="T74" s="4"/>
      <c r="U74" s="4"/>
      <c r="V74" s="4"/>
      <c r="W74" s="4"/>
      <c r="X74" s="4"/>
      <c r="Y74" s="4"/>
      <c r="Z74" s="4"/>
    </row>
    <row r="75">
      <c r="A75" s="4"/>
      <c r="B75" s="4"/>
      <c r="C75" s="4"/>
      <c r="D75" s="7"/>
      <c r="E75" s="4"/>
      <c r="F75" s="4"/>
      <c r="G75" s="4"/>
      <c r="H75" s="4"/>
      <c r="I75" s="4"/>
      <c r="J75" s="4"/>
      <c r="K75" s="4"/>
      <c r="L75" s="4"/>
      <c r="M75" s="4"/>
      <c r="N75" s="4"/>
      <c r="O75" s="4"/>
      <c r="P75" s="4"/>
      <c r="Q75" s="4"/>
      <c r="R75" s="4"/>
      <c r="S75" s="4"/>
      <c r="T75" s="4"/>
      <c r="U75" s="4"/>
      <c r="V75" s="4"/>
      <c r="W75" s="4"/>
      <c r="X75" s="4"/>
      <c r="Y75" s="4"/>
      <c r="Z75" s="4"/>
    </row>
    <row r="76">
      <c r="A76" s="4"/>
      <c r="B76" s="4"/>
      <c r="C76" s="4"/>
      <c r="D76" s="7"/>
      <c r="E76" s="4"/>
      <c r="F76" s="4"/>
      <c r="G76" s="4"/>
      <c r="H76" s="4"/>
      <c r="I76" s="4"/>
      <c r="J76" s="4"/>
      <c r="K76" s="4"/>
      <c r="L76" s="4"/>
      <c r="M76" s="4"/>
      <c r="N76" s="4"/>
      <c r="O76" s="4"/>
      <c r="P76" s="4"/>
      <c r="Q76" s="4"/>
      <c r="R76" s="4"/>
      <c r="S76" s="4"/>
      <c r="T76" s="4"/>
      <c r="U76" s="4"/>
      <c r="V76" s="4"/>
      <c r="W76" s="4"/>
      <c r="X76" s="4"/>
      <c r="Y76" s="4"/>
      <c r="Z76" s="4"/>
    </row>
    <row r="77">
      <c r="A77" s="4"/>
      <c r="B77" s="4"/>
      <c r="C77" s="4"/>
      <c r="D77" s="7"/>
      <c r="E77" s="4"/>
      <c r="F77" s="4"/>
      <c r="G77" s="4"/>
      <c r="H77" s="4"/>
      <c r="I77" s="4"/>
      <c r="J77" s="4"/>
      <c r="K77" s="4"/>
      <c r="L77" s="4"/>
      <c r="M77" s="4"/>
      <c r="N77" s="4"/>
      <c r="O77" s="4"/>
      <c r="P77" s="4"/>
      <c r="Q77" s="4"/>
      <c r="R77" s="4"/>
      <c r="S77" s="4"/>
      <c r="T77" s="4"/>
      <c r="U77" s="4"/>
      <c r="V77" s="4"/>
      <c r="W77" s="4"/>
      <c r="X77" s="4"/>
      <c r="Y77" s="4"/>
      <c r="Z77" s="4"/>
    </row>
    <row r="78">
      <c r="A78" s="4"/>
      <c r="B78" s="4"/>
      <c r="C78" s="4"/>
      <c r="D78" s="7"/>
      <c r="E78" s="4"/>
      <c r="F78" s="4"/>
      <c r="G78" s="4"/>
      <c r="H78" s="4"/>
      <c r="I78" s="4"/>
      <c r="J78" s="4"/>
      <c r="K78" s="4"/>
      <c r="L78" s="4"/>
      <c r="M78" s="4"/>
      <c r="N78" s="4"/>
      <c r="O78" s="4"/>
      <c r="P78" s="4"/>
      <c r="Q78" s="4"/>
      <c r="R78" s="4"/>
      <c r="S78" s="4"/>
      <c r="T78" s="4"/>
      <c r="U78" s="4"/>
      <c r="V78" s="4"/>
      <c r="W78" s="4"/>
      <c r="X78" s="4"/>
      <c r="Y78" s="4"/>
      <c r="Z78" s="4"/>
    </row>
    <row r="79">
      <c r="A79" s="4"/>
      <c r="B79" s="4"/>
      <c r="C79" s="4"/>
      <c r="D79" s="7"/>
      <c r="E79" s="4"/>
      <c r="F79" s="4"/>
      <c r="G79" s="4"/>
      <c r="H79" s="4"/>
      <c r="I79" s="4"/>
      <c r="J79" s="4"/>
      <c r="K79" s="4"/>
      <c r="L79" s="4"/>
      <c r="M79" s="4"/>
      <c r="N79" s="4"/>
      <c r="O79" s="4"/>
      <c r="P79" s="4"/>
      <c r="Q79" s="4"/>
      <c r="R79" s="4"/>
      <c r="S79" s="4"/>
      <c r="T79" s="4"/>
      <c r="U79" s="4"/>
      <c r="V79" s="4"/>
      <c r="W79" s="4"/>
      <c r="X79" s="4"/>
      <c r="Y79" s="4"/>
      <c r="Z79" s="4"/>
    </row>
    <row r="80">
      <c r="A80" s="4"/>
      <c r="B80" s="4"/>
      <c r="C80" s="4"/>
      <c r="D80" s="7"/>
      <c r="E80" s="4"/>
      <c r="F80" s="4"/>
      <c r="G80" s="4"/>
      <c r="H80" s="4"/>
      <c r="I80" s="4"/>
      <c r="J80" s="4"/>
      <c r="K80" s="4"/>
      <c r="L80" s="4"/>
      <c r="M80" s="4"/>
      <c r="N80" s="4"/>
      <c r="O80" s="4"/>
      <c r="P80" s="4"/>
      <c r="Q80" s="4"/>
      <c r="R80" s="4"/>
      <c r="S80" s="4"/>
      <c r="T80" s="4"/>
      <c r="U80" s="4"/>
      <c r="V80" s="4"/>
      <c r="W80" s="4"/>
      <c r="X80" s="4"/>
      <c r="Y80" s="4"/>
      <c r="Z80" s="4"/>
    </row>
    <row r="81">
      <c r="A81" s="4"/>
      <c r="B81" s="4"/>
      <c r="C81" s="4"/>
      <c r="D81" s="7"/>
      <c r="E81" s="4"/>
      <c r="F81" s="4"/>
      <c r="G81" s="4"/>
      <c r="H81" s="4"/>
      <c r="I81" s="4"/>
      <c r="J81" s="4"/>
      <c r="K81" s="4"/>
      <c r="L81" s="4"/>
      <c r="M81" s="4"/>
      <c r="N81" s="4"/>
      <c r="O81" s="4"/>
      <c r="P81" s="4"/>
      <c r="Q81" s="4"/>
      <c r="R81" s="4"/>
      <c r="S81" s="4"/>
      <c r="T81" s="4"/>
      <c r="U81" s="4"/>
      <c r="V81" s="4"/>
      <c r="W81" s="4"/>
      <c r="X81" s="4"/>
      <c r="Y81" s="4"/>
      <c r="Z81" s="4"/>
    </row>
    <row r="82">
      <c r="A82" s="4"/>
      <c r="B82" s="4"/>
      <c r="C82" s="4"/>
      <c r="D82" s="7"/>
      <c r="E82" s="4"/>
      <c r="F82" s="4"/>
      <c r="G82" s="4"/>
      <c r="H82" s="4"/>
      <c r="I82" s="4"/>
      <c r="J82" s="4"/>
      <c r="K82" s="4"/>
      <c r="L82" s="4"/>
      <c r="M82" s="4"/>
      <c r="N82" s="4"/>
      <c r="O82" s="4"/>
      <c r="P82" s="4"/>
      <c r="Q82" s="4"/>
      <c r="R82" s="4"/>
      <c r="S82" s="4"/>
      <c r="T82" s="4"/>
      <c r="U82" s="4"/>
      <c r="V82" s="4"/>
      <c r="W82" s="4"/>
      <c r="X82" s="4"/>
      <c r="Y82" s="4"/>
      <c r="Z82" s="4"/>
    </row>
    <row r="83">
      <c r="A83" s="4"/>
      <c r="B83" s="4"/>
      <c r="C83" s="4"/>
      <c r="D83" s="7"/>
      <c r="E83" s="4"/>
      <c r="F83" s="4"/>
      <c r="G83" s="4"/>
      <c r="H83" s="4"/>
      <c r="I83" s="4"/>
      <c r="J83" s="4"/>
      <c r="K83" s="4"/>
      <c r="L83" s="4"/>
      <c r="M83" s="4"/>
      <c r="N83" s="4"/>
      <c r="O83" s="4"/>
      <c r="P83" s="4"/>
      <c r="Q83" s="4"/>
      <c r="R83" s="4"/>
      <c r="S83" s="4"/>
      <c r="T83" s="4"/>
      <c r="U83" s="4"/>
      <c r="V83" s="4"/>
      <c r="W83" s="4"/>
      <c r="X83" s="4"/>
      <c r="Y83" s="4"/>
      <c r="Z83" s="4"/>
    </row>
    <row r="84">
      <c r="A84" s="4"/>
      <c r="B84" s="4"/>
      <c r="C84" s="4"/>
      <c r="D84" s="7"/>
      <c r="E84" s="4"/>
      <c r="F84" s="4"/>
      <c r="G84" s="4"/>
      <c r="H84" s="4"/>
      <c r="I84" s="4"/>
      <c r="J84" s="4"/>
      <c r="K84" s="4"/>
      <c r="L84" s="4"/>
      <c r="M84" s="4"/>
      <c r="N84" s="4"/>
      <c r="O84" s="4"/>
      <c r="P84" s="4"/>
      <c r="Q84" s="4"/>
      <c r="R84" s="4"/>
      <c r="S84" s="4"/>
      <c r="T84" s="4"/>
      <c r="U84" s="4"/>
      <c r="V84" s="4"/>
      <c r="W84" s="4"/>
      <c r="X84" s="4"/>
      <c r="Y84" s="4"/>
      <c r="Z84" s="4"/>
    </row>
    <row r="85">
      <c r="A85" s="4"/>
      <c r="B85" s="4"/>
      <c r="C85" s="4"/>
      <c r="D85" s="7"/>
      <c r="E85" s="4"/>
      <c r="F85" s="4"/>
      <c r="G85" s="4"/>
      <c r="H85" s="4"/>
      <c r="I85" s="4"/>
      <c r="J85" s="4"/>
      <c r="K85" s="4"/>
      <c r="L85" s="4"/>
      <c r="M85" s="4"/>
      <c r="N85" s="4"/>
      <c r="O85" s="4"/>
      <c r="P85" s="4"/>
      <c r="Q85" s="4"/>
      <c r="R85" s="4"/>
      <c r="S85" s="4"/>
      <c r="T85" s="4"/>
      <c r="U85" s="4"/>
      <c r="V85" s="4"/>
      <c r="W85" s="4"/>
      <c r="X85" s="4"/>
      <c r="Y85" s="4"/>
      <c r="Z85" s="4"/>
    </row>
    <row r="86">
      <c r="A86" s="4"/>
      <c r="B86" s="4"/>
      <c r="C86" s="4"/>
      <c r="D86" s="7"/>
      <c r="E86" s="4"/>
      <c r="F86" s="4"/>
      <c r="G86" s="4"/>
      <c r="H86" s="4"/>
      <c r="I86" s="4"/>
      <c r="J86" s="4"/>
      <c r="K86" s="4"/>
      <c r="L86" s="4"/>
      <c r="M86" s="4"/>
      <c r="N86" s="4"/>
      <c r="O86" s="4"/>
      <c r="P86" s="4"/>
      <c r="Q86" s="4"/>
      <c r="R86" s="4"/>
      <c r="S86" s="4"/>
      <c r="T86" s="4"/>
      <c r="U86" s="4"/>
      <c r="V86" s="4"/>
      <c r="W86" s="4"/>
      <c r="X86" s="4"/>
      <c r="Y86" s="4"/>
      <c r="Z86" s="4"/>
    </row>
    <row r="87">
      <c r="A87" s="4"/>
      <c r="B87" s="4"/>
      <c r="C87" s="4"/>
      <c r="D87" s="7"/>
      <c r="E87" s="4"/>
      <c r="F87" s="4"/>
      <c r="G87" s="4"/>
      <c r="H87" s="4"/>
      <c r="I87" s="4"/>
      <c r="J87" s="4"/>
      <c r="K87" s="4"/>
      <c r="L87" s="4"/>
      <c r="M87" s="4"/>
      <c r="N87" s="4"/>
      <c r="O87" s="4"/>
      <c r="P87" s="4"/>
      <c r="Q87" s="4"/>
      <c r="R87" s="4"/>
      <c r="S87" s="4"/>
      <c r="T87" s="4"/>
      <c r="U87" s="4"/>
      <c r="V87" s="4"/>
      <c r="W87" s="4"/>
      <c r="X87" s="4"/>
      <c r="Y87" s="4"/>
      <c r="Z87" s="4"/>
    </row>
    <row r="88">
      <c r="A88" s="4"/>
      <c r="B88" s="4"/>
      <c r="C88" s="4"/>
      <c r="D88" s="7"/>
      <c r="E88" s="4"/>
      <c r="F88" s="4"/>
      <c r="G88" s="4"/>
      <c r="H88" s="4"/>
      <c r="I88" s="4"/>
      <c r="J88" s="4"/>
      <c r="K88" s="4"/>
      <c r="L88" s="4"/>
      <c r="M88" s="4"/>
      <c r="N88" s="4"/>
      <c r="O88" s="4"/>
      <c r="P88" s="4"/>
      <c r="Q88" s="4"/>
      <c r="R88" s="4"/>
      <c r="S88" s="4"/>
      <c r="T88" s="4"/>
      <c r="U88" s="4"/>
      <c r="V88" s="4"/>
      <c r="W88" s="4"/>
      <c r="X88" s="4"/>
      <c r="Y88" s="4"/>
      <c r="Z88" s="4"/>
    </row>
    <row r="89">
      <c r="A89" s="4"/>
      <c r="B89" s="4"/>
      <c r="C89" s="4"/>
      <c r="D89" s="7"/>
      <c r="E89" s="4"/>
      <c r="F89" s="4"/>
      <c r="G89" s="4"/>
      <c r="H89" s="4"/>
      <c r="I89" s="4"/>
      <c r="J89" s="4"/>
      <c r="K89" s="4"/>
      <c r="L89" s="4"/>
      <c r="M89" s="4"/>
      <c r="N89" s="4"/>
      <c r="O89" s="4"/>
      <c r="P89" s="4"/>
      <c r="Q89" s="4"/>
      <c r="R89" s="4"/>
      <c r="S89" s="4"/>
      <c r="T89" s="4"/>
      <c r="U89" s="4"/>
      <c r="V89" s="4"/>
      <c r="W89" s="4"/>
      <c r="X89" s="4"/>
      <c r="Y89" s="4"/>
      <c r="Z89" s="4"/>
    </row>
    <row r="90">
      <c r="A90" s="4"/>
      <c r="B90" s="4"/>
      <c r="C90" s="4"/>
      <c r="D90" s="7"/>
      <c r="E90" s="4"/>
      <c r="F90" s="4"/>
      <c r="G90" s="4"/>
      <c r="H90" s="4"/>
      <c r="I90" s="4"/>
      <c r="J90" s="4"/>
      <c r="K90" s="4"/>
      <c r="L90" s="4"/>
      <c r="M90" s="4"/>
      <c r="N90" s="4"/>
      <c r="O90" s="4"/>
      <c r="P90" s="4"/>
      <c r="Q90" s="4"/>
      <c r="R90" s="4"/>
      <c r="S90" s="4"/>
      <c r="T90" s="4"/>
      <c r="U90" s="4"/>
      <c r="V90" s="4"/>
      <c r="W90" s="4"/>
      <c r="X90" s="4"/>
      <c r="Y90" s="4"/>
      <c r="Z90" s="4"/>
    </row>
    <row r="91">
      <c r="A91" s="4"/>
      <c r="B91" s="4"/>
      <c r="C91" s="4"/>
      <c r="D91" s="7"/>
      <c r="E91" s="4"/>
      <c r="F91" s="4"/>
      <c r="G91" s="4"/>
      <c r="H91" s="4"/>
      <c r="I91" s="4"/>
      <c r="J91" s="4"/>
      <c r="K91" s="4"/>
      <c r="L91" s="4"/>
      <c r="M91" s="4"/>
      <c r="N91" s="4"/>
      <c r="O91" s="4"/>
      <c r="P91" s="4"/>
      <c r="Q91" s="4"/>
      <c r="R91" s="4"/>
      <c r="S91" s="4"/>
      <c r="T91" s="4"/>
      <c r="U91" s="4"/>
      <c r="V91" s="4"/>
      <c r="W91" s="4"/>
      <c r="X91" s="4"/>
      <c r="Y91" s="4"/>
      <c r="Z91" s="4"/>
    </row>
    <row r="92">
      <c r="A92" s="4"/>
      <c r="B92" s="4"/>
      <c r="C92" s="4"/>
      <c r="D92" s="7"/>
      <c r="E92" s="4"/>
      <c r="F92" s="4"/>
      <c r="G92" s="4"/>
      <c r="H92" s="4"/>
      <c r="I92" s="4"/>
      <c r="J92" s="4"/>
      <c r="K92" s="4"/>
      <c r="L92" s="4"/>
      <c r="M92" s="4"/>
      <c r="N92" s="4"/>
      <c r="O92" s="4"/>
      <c r="P92" s="4"/>
      <c r="Q92" s="4"/>
      <c r="R92" s="4"/>
      <c r="S92" s="4"/>
      <c r="T92" s="4"/>
      <c r="U92" s="4"/>
      <c r="V92" s="4"/>
      <c r="W92" s="4"/>
      <c r="X92" s="4"/>
      <c r="Y92" s="4"/>
      <c r="Z92" s="4"/>
    </row>
    <row r="93">
      <c r="A93" s="4"/>
      <c r="B93" s="4"/>
      <c r="C93" s="4"/>
      <c r="D93" s="7"/>
      <c r="E93" s="4"/>
      <c r="F93" s="4"/>
      <c r="G93" s="4"/>
      <c r="H93" s="4"/>
      <c r="I93" s="4"/>
      <c r="J93" s="4"/>
      <c r="K93" s="4"/>
      <c r="L93" s="4"/>
      <c r="M93" s="4"/>
      <c r="N93" s="4"/>
      <c r="O93" s="4"/>
      <c r="P93" s="4"/>
      <c r="Q93" s="4"/>
      <c r="R93" s="4"/>
      <c r="S93" s="4"/>
      <c r="T93" s="4"/>
      <c r="U93" s="4"/>
      <c r="V93" s="4"/>
      <c r="W93" s="4"/>
      <c r="X93" s="4"/>
      <c r="Y93" s="4"/>
      <c r="Z93" s="4"/>
    </row>
    <row r="94">
      <c r="A94" s="4"/>
      <c r="B94" s="4"/>
      <c r="C94" s="4"/>
      <c r="D94" s="7"/>
      <c r="E94" s="4"/>
      <c r="F94" s="4"/>
      <c r="G94" s="4"/>
      <c r="H94" s="4"/>
      <c r="I94" s="4"/>
      <c r="J94" s="4"/>
      <c r="K94" s="4"/>
      <c r="L94" s="4"/>
      <c r="M94" s="4"/>
      <c r="N94" s="4"/>
      <c r="O94" s="4"/>
      <c r="P94" s="4"/>
      <c r="Q94" s="4"/>
      <c r="R94" s="4"/>
      <c r="S94" s="4"/>
      <c r="T94" s="4"/>
      <c r="U94" s="4"/>
      <c r="V94" s="4"/>
      <c r="W94" s="4"/>
      <c r="X94" s="4"/>
      <c r="Y94" s="4"/>
      <c r="Z94" s="4"/>
    </row>
    <row r="95">
      <c r="A95" s="4"/>
      <c r="B95" s="4"/>
      <c r="C95" s="4"/>
      <c r="D95" s="7"/>
      <c r="E95" s="4"/>
      <c r="F95" s="4"/>
      <c r="G95" s="4"/>
      <c r="H95" s="4"/>
      <c r="I95" s="4"/>
      <c r="J95" s="4"/>
      <c r="K95" s="4"/>
      <c r="L95" s="4"/>
      <c r="M95" s="4"/>
      <c r="N95" s="4"/>
      <c r="O95" s="4"/>
      <c r="P95" s="4"/>
      <c r="Q95" s="4"/>
      <c r="R95" s="4"/>
      <c r="S95" s="4"/>
      <c r="T95" s="4"/>
      <c r="U95" s="4"/>
      <c r="V95" s="4"/>
      <c r="W95" s="4"/>
      <c r="X95" s="4"/>
      <c r="Y95" s="4"/>
      <c r="Z95" s="4"/>
    </row>
    <row r="96">
      <c r="A96" s="4"/>
      <c r="B96" s="4"/>
      <c r="C96" s="4"/>
      <c r="D96" s="7"/>
      <c r="E96" s="4"/>
      <c r="F96" s="4"/>
      <c r="G96" s="4"/>
      <c r="H96" s="4"/>
      <c r="I96" s="4"/>
      <c r="J96" s="4"/>
      <c r="K96" s="4"/>
      <c r="L96" s="4"/>
      <c r="M96" s="4"/>
      <c r="N96" s="4"/>
      <c r="O96" s="4"/>
      <c r="P96" s="4"/>
      <c r="Q96" s="4"/>
      <c r="R96" s="4"/>
      <c r="S96" s="4"/>
      <c r="T96" s="4"/>
      <c r="U96" s="4"/>
      <c r="V96" s="4"/>
      <c r="W96" s="4"/>
      <c r="X96" s="4"/>
      <c r="Y96" s="4"/>
      <c r="Z96" s="4"/>
    </row>
    <row r="97">
      <c r="A97" s="4"/>
      <c r="B97" s="4"/>
      <c r="C97" s="4"/>
      <c r="D97" s="7"/>
      <c r="E97" s="4"/>
      <c r="F97" s="4"/>
      <c r="G97" s="4"/>
      <c r="H97" s="4"/>
      <c r="I97" s="4"/>
      <c r="J97" s="4"/>
      <c r="K97" s="4"/>
      <c r="L97" s="4"/>
      <c r="M97" s="4"/>
      <c r="N97" s="4"/>
      <c r="O97" s="4"/>
      <c r="P97" s="4"/>
      <c r="Q97" s="4"/>
      <c r="R97" s="4"/>
      <c r="S97" s="4"/>
      <c r="T97" s="4"/>
      <c r="U97" s="4"/>
      <c r="V97" s="4"/>
      <c r="W97" s="4"/>
      <c r="X97" s="4"/>
      <c r="Y97" s="4"/>
      <c r="Z97" s="4"/>
    </row>
    <row r="98">
      <c r="A98" s="4"/>
      <c r="B98" s="4"/>
      <c r="C98" s="4"/>
      <c r="D98" s="7"/>
      <c r="E98" s="4"/>
      <c r="F98" s="4"/>
      <c r="G98" s="4"/>
      <c r="H98" s="4"/>
      <c r="I98" s="4"/>
      <c r="J98" s="4"/>
      <c r="K98" s="4"/>
      <c r="L98" s="4"/>
      <c r="M98" s="4"/>
      <c r="N98" s="4"/>
      <c r="O98" s="4"/>
      <c r="P98" s="4"/>
      <c r="Q98" s="4"/>
      <c r="R98" s="4"/>
      <c r="S98" s="4"/>
      <c r="T98" s="4"/>
      <c r="U98" s="4"/>
      <c r="V98" s="4"/>
      <c r="W98" s="4"/>
      <c r="X98" s="4"/>
      <c r="Y98" s="4"/>
      <c r="Z98" s="4"/>
    </row>
    <row r="99">
      <c r="A99" s="4"/>
      <c r="B99" s="4"/>
      <c r="C99" s="4"/>
      <c r="D99" s="7"/>
      <c r="E99" s="4"/>
      <c r="F99" s="4"/>
      <c r="G99" s="4"/>
      <c r="H99" s="4"/>
      <c r="I99" s="4"/>
      <c r="J99" s="4"/>
      <c r="K99" s="4"/>
      <c r="L99" s="4"/>
      <c r="M99" s="4"/>
      <c r="N99" s="4"/>
      <c r="O99" s="4"/>
      <c r="P99" s="4"/>
      <c r="Q99" s="4"/>
      <c r="R99" s="4"/>
      <c r="S99" s="4"/>
      <c r="T99" s="4"/>
      <c r="U99" s="4"/>
      <c r="V99" s="4"/>
      <c r="W99" s="4"/>
      <c r="X99" s="4"/>
      <c r="Y99" s="4"/>
      <c r="Z99" s="4"/>
    </row>
    <row r="100">
      <c r="A100" s="4"/>
      <c r="B100" s="4"/>
      <c r="C100" s="4"/>
      <c r="D100" s="7"/>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7"/>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7"/>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7"/>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7"/>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7"/>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7"/>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7"/>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7"/>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7"/>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7"/>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7"/>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7"/>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7"/>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7"/>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7"/>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7"/>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7"/>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7"/>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7"/>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7"/>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7"/>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7"/>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7"/>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7"/>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7"/>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7"/>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7"/>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7"/>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7"/>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7"/>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7"/>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7"/>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7"/>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7"/>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7"/>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7"/>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7"/>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7"/>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7"/>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7"/>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7"/>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7"/>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7"/>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7"/>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7"/>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7"/>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7"/>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7"/>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7"/>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7"/>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7"/>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7"/>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7"/>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7"/>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7"/>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7"/>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7"/>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7"/>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7"/>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7"/>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7"/>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7"/>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7"/>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7"/>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7"/>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7"/>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7"/>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7"/>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7"/>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7"/>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7"/>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7"/>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7"/>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7"/>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7"/>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7"/>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7"/>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7"/>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7"/>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7"/>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7"/>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7"/>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7"/>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7"/>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7"/>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7"/>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7"/>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7"/>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7"/>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7"/>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7"/>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7"/>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7"/>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7"/>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7"/>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7"/>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7"/>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7"/>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7"/>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7"/>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7"/>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7"/>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7"/>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7"/>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7"/>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7"/>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7"/>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7"/>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7"/>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7"/>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7"/>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7"/>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7"/>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7"/>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7"/>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7"/>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7"/>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7"/>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7"/>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7"/>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7"/>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7"/>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7"/>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7"/>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7"/>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7"/>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7"/>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7"/>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7"/>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7"/>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7"/>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7"/>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7"/>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7"/>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7"/>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7"/>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7"/>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7"/>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7"/>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7"/>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7"/>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7"/>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7"/>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7"/>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7"/>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7"/>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7"/>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7"/>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7"/>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7"/>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7"/>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7"/>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7"/>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7"/>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7"/>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7"/>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7"/>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7"/>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7"/>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7"/>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7"/>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7"/>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7"/>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7"/>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7"/>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7"/>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7"/>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7"/>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7"/>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7"/>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7"/>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7"/>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7"/>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7"/>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7"/>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7"/>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7"/>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7"/>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7"/>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7"/>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7"/>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7"/>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7"/>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7"/>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7"/>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7"/>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7"/>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7"/>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7"/>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7"/>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7"/>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7"/>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7"/>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7"/>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7"/>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7"/>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7"/>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7"/>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7"/>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7"/>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7"/>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7"/>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7"/>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7"/>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7"/>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7"/>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7"/>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7"/>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7"/>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7"/>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7"/>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7"/>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7"/>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7"/>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7"/>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7"/>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7"/>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7"/>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7"/>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7"/>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7"/>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7"/>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7"/>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7"/>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7"/>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7"/>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7"/>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7"/>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7"/>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7"/>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7"/>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7"/>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7"/>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7"/>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7"/>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7"/>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7"/>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7"/>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7"/>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7"/>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7"/>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7"/>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7"/>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7"/>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7"/>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7"/>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7"/>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7"/>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7"/>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7"/>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7"/>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7"/>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7"/>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7"/>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7"/>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7"/>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7"/>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7"/>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7"/>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7"/>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7"/>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7"/>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7"/>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7"/>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7"/>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7"/>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7"/>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7"/>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7"/>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7"/>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7"/>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7"/>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7"/>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7"/>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7"/>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7"/>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7"/>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7"/>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7"/>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7"/>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7"/>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7"/>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7"/>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7"/>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7"/>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7"/>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7"/>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7"/>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7"/>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7"/>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7"/>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7"/>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7"/>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7"/>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7"/>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7"/>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7"/>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7"/>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7"/>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7"/>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7"/>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7"/>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7"/>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7"/>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7"/>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7"/>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7"/>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7"/>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7"/>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7"/>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7"/>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7"/>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7"/>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7"/>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7"/>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7"/>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7"/>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7"/>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7"/>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7"/>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7"/>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7"/>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7"/>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7"/>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7"/>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7"/>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7"/>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7"/>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7"/>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7"/>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7"/>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7"/>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7"/>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7"/>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7"/>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7"/>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7"/>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7"/>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7"/>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7"/>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7"/>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7"/>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7"/>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7"/>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7"/>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7"/>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7"/>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7"/>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7"/>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7"/>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7"/>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7"/>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7"/>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7"/>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7"/>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7"/>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7"/>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7"/>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7"/>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7"/>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7"/>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7"/>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7"/>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7"/>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7"/>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7"/>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7"/>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7"/>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7"/>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7"/>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7"/>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7"/>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7"/>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7"/>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7"/>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7"/>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7"/>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7"/>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7"/>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7"/>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7"/>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7"/>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7"/>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7"/>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7"/>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7"/>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7"/>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7"/>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7"/>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7"/>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7"/>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7"/>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7"/>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7"/>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7"/>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7"/>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7"/>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7"/>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7"/>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7"/>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7"/>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7"/>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7"/>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7"/>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7"/>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7"/>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7"/>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7"/>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7"/>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7"/>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7"/>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7"/>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7"/>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7"/>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7"/>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7"/>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7"/>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7"/>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7"/>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7"/>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7"/>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7"/>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7"/>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7"/>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7"/>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7"/>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7"/>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7"/>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7"/>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7"/>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7"/>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7"/>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7"/>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7"/>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7"/>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7"/>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7"/>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7"/>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7"/>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7"/>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7"/>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7"/>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7"/>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7"/>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7"/>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7"/>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7"/>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7"/>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7"/>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7"/>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7"/>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7"/>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7"/>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7"/>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7"/>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7"/>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7"/>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7"/>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7"/>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7"/>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7"/>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7"/>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7"/>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7"/>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7"/>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7"/>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7"/>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7"/>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7"/>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7"/>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7"/>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7"/>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7"/>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7"/>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7"/>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7"/>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7"/>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7"/>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7"/>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7"/>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7"/>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7"/>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7"/>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7"/>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7"/>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7"/>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7"/>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7"/>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7"/>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7"/>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7"/>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7"/>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7"/>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7"/>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7"/>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7"/>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7"/>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7"/>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7"/>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7"/>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7"/>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7"/>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7"/>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7"/>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7"/>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7"/>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7"/>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7"/>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7"/>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7"/>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7"/>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7"/>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7"/>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7"/>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7"/>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7"/>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7"/>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7"/>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7"/>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7"/>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7"/>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7"/>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7"/>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7"/>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7"/>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7"/>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7"/>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7"/>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7"/>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7"/>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7"/>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7"/>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7"/>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7"/>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7"/>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7"/>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7"/>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7"/>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7"/>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7"/>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7"/>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7"/>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7"/>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7"/>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7"/>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7"/>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7"/>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7"/>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7"/>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7"/>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7"/>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7"/>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7"/>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7"/>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7"/>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7"/>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7"/>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7"/>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7"/>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7"/>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7"/>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7"/>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7"/>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7"/>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7"/>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7"/>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7"/>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7"/>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7"/>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7"/>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7"/>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7"/>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7"/>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7"/>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7"/>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7"/>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7"/>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7"/>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7"/>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7"/>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7"/>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7"/>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7"/>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7"/>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7"/>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7"/>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7"/>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7"/>
      <c r="E959" s="4"/>
      <c r="F959" s="4"/>
      <c r="G959" s="4"/>
      <c r="H959" s="4"/>
      <c r="I959" s="4"/>
      <c r="J959" s="4"/>
      <c r="K959" s="4"/>
      <c r="L959" s="4"/>
      <c r="M959" s="4"/>
      <c r="N959" s="4"/>
      <c r="O959" s="4"/>
      <c r="P959" s="4"/>
      <c r="Q959" s="4"/>
      <c r="R959" s="4"/>
      <c r="S959" s="4"/>
      <c r="T959" s="4"/>
      <c r="U959" s="4"/>
      <c r="V959" s="4"/>
      <c r="W959" s="4"/>
      <c r="X959" s="4"/>
      <c r="Y959" s="4"/>
      <c r="Z959"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3" max="3" width="14.0"/>
    <col customWidth="1" min="4" max="4" width="13.63"/>
  </cols>
  <sheetData>
    <row r="1">
      <c r="A1" s="8" t="s">
        <v>905</v>
      </c>
      <c r="B1" s="9">
        <f>COUNTA(Included!A:A) - 1</f>
        <v>56</v>
      </c>
    </row>
    <row r="2">
      <c r="A2" s="8" t="s">
        <v>906</v>
      </c>
      <c r="B2" s="9">
        <f>COUNTA('Excluded Before Retrieval'!A:A) - 1</f>
        <v>63</v>
      </c>
    </row>
    <row r="3">
      <c r="A3" s="8" t="s">
        <v>907</v>
      </c>
      <c r="B3" s="9">
        <f>COUNTA('Excluded After Retrieval'!A:A) - 1</f>
        <v>49</v>
      </c>
    </row>
    <row r="4">
      <c r="A4" s="8" t="s">
        <v>908</v>
      </c>
      <c r="B4" s="9">
        <f>SUM(B1:B3)</f>
        <v>168</v>
      </c>
    </row>
    <row r="5">
      <c r="A5" s="8" t="s">
        <v>909</v>
      </c>
      <c r="B5" s="9">
        <f>IFERROR(__xludf.DUMMYFUNCTION("COUNTUNIQUE(Included!C:C)-1"),54.0)</f>
        <v>54</v>
      </c>
    </row>
    <row r="6">
      <c r="A6" s="10"/>
      <c r="B6" s="11"/>
      <c r="C6" s="11"/>
      <c r="D6" s="11"/>
      <c r="E6" s="11"/>
      <c r="F6" s="11"/>
      <c r="G6" s="11"/>
      <c r="H6" s="11"/>
      <c r="I6" s="11"/>
      <c r="J6" s="11"/>
      <c r="K6" s="11"/>
      <c r="L6" s="11"/>
      <c r="M6" s="11"/>
      <c r="N6" s="11"/>
      <c r="O6" s="11"/>
      <c r="P6" s="11"/>
      <c r="Q6" s="11"/>
      <c r="R6" s="11"/>
      <c r="S6" s="11"/>
      <c r="T6" s="11"/>
      <c r="U6" s="11"/>
      <c r="V6" s="11"/>
      <c r="W6" s="11"/>
      <c r="X6" s="11"/>
      <c r="Y6" s="11"/>
      <c r="Z6" s="11"/>
    </row>
    <row r="7">
      <c r="A7" s="12" t="s">
        <v>910</v>
      </c>
      <c r="B7" s="13">
        <v>2015.0</v>
      </c>
      <c r="C7" s="13">
        <v>2016.0</v>
      </c>
      <c r="D7" s="13">
        <v>2017.0</v>
      </c>
      <c r="E7" s="13">
        <v>2018.0</v>
      </c>
      <c r="F7" s="13">
        <v>2019.0</v>
      </c>
      <c r="G7" s="13">
        <v>2020.0</v>
      </c>
      <c r="H7" s="13">
        <v>2021.0</v>
      </c>
      <c r="I7" s="13">
        <v>2022.0</v>
      </c>
      <c r="J7" s="13">
        <v>2023.0</v>
      </c>
      <c r="K7" s="13">
        <v>2024.0</v>
      </c>
      <c r="L7" s="13">
        <v>2025.0</v>
      </c>
      <c r="M7" s="13">
        <v>2026.0</v>
      </c>
      <c r="N7" s="14"/>
      <c r="O7" s="14"/>
      <c r="P7" s="14"/>
      <c r="Q7" s="14"/>
      <c r="R7" s="14"/>
      <c r="S7" s="14"/>
      <c r="T7" s="14"/>
      <c r="U7" s="14"/>
      <c r="V7" s="14"/>
      <c r="W7" s="14"/>
      <c r="X7" s="14"/>
      <c r="Y7" s="14"/>
      <c r="Z7" s="14"/>
    </row>
    <row r="8">
      <c r="A8" s="15"/>
      <c r="B8" s="14">
        <f>COUNTIF(Included!$D:$D, "=2015")</f>
        <v>1</v>
      </c>
      <c r="C8" s="14">
        <f>COUNTIF(Included!$D:$D, "=2016")</f>
        <v>2</v>
      </c>
      <c r="D8" s="14">
        <f>COUNTIF(Included!$D:$D, "=2017")</f>
        <v>8</v>
      </c>
      <c r="E8" s="14">
        <f>COUNTIF(Included!$D:$D, "=2018")</f>
        <v>8</v>
      </c>
      <c r="F8" s="14">
        <f>COUNTIF(Included!$D:$D, "=2019")</f>
        <v>6</v>
      </c>
      <c r="G8" s="14">
        <f>COUNTIF(Included!$D:$D, "=2020")</f>
        <v>7</v>
      </c>
      <c r="H8" s="14">
        <f>COUNTIF(Included!$D:$D, "=2021")</f>
        <v>8</v>
      </c>
      <c r="I8" s="14">
        <f>COUNTIF(Included!$D:$D, "=2022")</f>
        <v>5</v>
      </c>
      <c r="J8" s="14">
        <f>COUNTIF(Included!$D:$D, "=2023")</f>
        <v>6</v>
      </c>
      <c r="K8" s="14">
        <f>COUNTIF(Included!$D:$D, "=2024")</f>
        <v>3</v>
      </c>
      <c r="L8" s="14">
        <f>COUNTIF(Included!$D:$D, "=2025")</f>
        <v>2</v>
      </c>
      <c r="M8" s="14">
        <f>COUNTIF(Included!$D:$D, "=2026")</f>
        <v>0</v>
      </c>
      <c r="N8" s="14"/>
      <c r="O8" s="14"/>
      <c r="P8" s="14"/>
      <c r="Q8" s="14"/>
      <c r="R8" s="14"/>
      <c r="S8" s="14"/>
      <c r="T8" s="14"/>
      <c r="U8" s="14"/>
      <c r="V8" s="14"/>
      <c r="W8" s="14"/>
      <c r="X8" s="14"/>
      <c r="Y8" s="14"/>
      <c r="Z8" s="14"/>
    </row>
    <row r="9">
      <c r="A9" s="12" t="s">
        <v>911</v>
      </c>
      <c r="B9" s="14">
        <f>SUM(B8:M8)</f>
        <v>56</v>
      </c>
      <c r="C9" s="14"/>
      <c r="D9" s="14"/>
      <c r="E9" s="14"/>
      <c r="F9" s="14"/>
      <c r="G9" s="14"/>
      <c r="H9" s="14"/>
      <c r="I9" s="14"/>
      <c r="J9" s="14"/>
      <c r="K9" s="14"/>
      <c r="L9" s="14"/>
      <c r="M9" s="14"/>
      <c r="N9" s="14"/>
      <c r="O9" s="14"/>
      <c r="P9" s="14"/>
      <c r="Q9" s="14"/>
      <c r="R9" s="14"/>
      <c r="S9" s="14"/>
      <c r="T9" s="14"/>
      <c r="U9" s="14"/>
      <c r="V9" s="14"/>
      <c r="W9" s="14"/>
      <c r="X9" s="14"/>
      <c r="Y9" s="14"/>
      <c r="Z9" s="14"/>
    </row>
    <row r="10">
      <c r="A10" s="10"/>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6" t="s">
        <v>912</v>
      </c>
      <c r="B11" s="17">
        <f>countif(Included!I:I, "yes*")</f>
        <v>44</v>
      </c>
      <c r="C11" s="18" t="s">
        <v>913</v>
      </c>
      <c r="D11" s="17">
        <f t="shared" ref="D11:D12" si="1">DIVIDE(B11,B$1)</f>
        <v>0.7857142857</v>
      </c>
      <c r="E11" s="17">
        <f t="shared" ref="E11:E12" si="2">ROUND(D11, 2)</f>
        <v>0.79</v>
      </c>
      <c r="F11" s="17"/>
      <c r="G11" s="17"/>
      <c r="H11" s="17"/>
      <c r="I11" s="17"/>
      <c r="J11" s="17"/>
      <c r="K11" s="17"/>
      <c r="L11" s="17"/>
      <c r="M11" s="17"/>
      <c r="N11" s="17"/>
      <c r="O11" s="17"/>
      <c r="P11" s="17"/>
      <c r="Q11" s="17"/>
      <c r="R11" s="17"/>
      <c r="S11" s="17"/>
      <c r="T11" s="17"/>
      <c r="U11" s="17"/>
      <c r="V11" s="17"/>
      <c r="W11" s="17"/>
      <c r="X11" s="17"/>
      <c r="Y11" s="17"/>
      <c r="Z11" s="17"/>
    </row>
    <row r="12">
      <c r="A12" s="16" t="s">
        <v>914</v>
      </c>
      <c r="B12" s="17">
        <f>countif(Included!I:I, "no*")</f>
        <v>12</v>
      </c>
      <c r="C12" s="17"/>
      <c r="D12" s="17">
        <f t="shared" si="1"/>
        <v>0.2142857143</v>
      </c>
      <c r="E12" s="17">
        <f t="shared" si="2"/>
        <v>0.21</v>
      </c>
      <c r="F12" s="17"/>
      <c r="G12" s="17"/>
      <c r="H12" s="17"/>
      <c r="I12" s="17"/>
      <c r="J12" s="17"/>
      <c r="K12" s="17"/>
      <c r="L12" s="17"/>
      <c r="M12" s="17"/>
      <c r="N12" s="17"/>
      <c r="O12" s="17"/>
      <c r="P12" s="17"/>
      <c r="Q12" s="17"/>
      <c r="R12" s="17"/>
      <c r="S12" s="17"/>
      <c r="T12" s="17"/>
      <c r="U12" s="17"/>
      <c r="V12" s="17"/>
      <c r="W12" s="17"/>
      <c r="X12" s="17"/>
      <c r="Y12" s="17"/>
      <c r="Z12" s="17"/>
    </row>
    <row r="13">
      <c r="A13" s="16" t="s">
        <v>911</v>
      </c>
      <c r="B13" s="17">
        <f>sum(B11:B12)</f>
        <v>56</v>
      </c>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0"/>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2" t="s">
        <v>915</v>
      </c>
      <c r="B15" s="14">
        <f>countif(Included!H:H, "yes*")</f>
        <v>42</v>
      </c>
      <c r="C15" s="13" t="s">
        <v>913</v>
      </c>
      <c r="D15" s="14">
        <f t="shared" ref="D15:D16" si="3">DIVIDE(B15,B$1)</f>
        <v>0.75</v>
      </c>
      <c r="E15" s="14">
        <f t="shared" ref="E15:E16" si="4">ROUND(D15, 2)</f>
        <v>0.75</v>
      </c>
      <c r="F15" s="14"/>
      <c r="G15" s="14"/>
      <c r="H15" s="14"/>
      <c r="I15" s="14"/>
      <c r="J15" s="14"/>
      <c r="K15" s="14"/>
      <c r="L15" s="14"/>
      <c r="M15" s="14"/>
      <c r="N15" s="14"/>
      <c r="O15" s="14"/>
      <c r="P15" s="14"/>
      <c r="Q15" s="14"/>
      <c r="R15" s="14"/>
      <c r="S15" s="14"/>
      <c r="T15" s="14"/>
      <c r="U15" s="14"/>
      <c r="V15" s="14"/>
      <c r="W15" s="14"/>
      <c r="X15" s="14"/>
      <c r="Y15" s="14"/>
      <c r="Z15" s="14"/>
    </row>
    <row r="16">
      <c r="A16" s="12" t="s">
        <v>916</v>
      </c>
      <c r="B16" s="14">
        <f>countif(Included!H:H, "no*")</f>
        <v>14</v>
      </c>
      <c r="C16" s="14"/>
      <c r="D16" s="14">
        <f t="shared" si="3"/>
        <v>0.25</v>
      </c>
      <c r="E16" s="14">
        <f t="shared" si="4"/>
        <v>0.25</v>
      </c>
      <c r="F16" s="14"/>
      <c r="G16" s="14"/>
      <c r="H16" s="14"/>
      <c r="I16" s="14"/>
      <c r="J16" s="14"/>
      <c r="K16" s="14"/>
      <c r="L16" s="14"/>
      <c r="M16" s="14"/>
      <c r="N16" s="14"/>
      <c r="O16" s="14"/>
      <c r="P16" s="14"/>
      <c r="Q16" s="14"/>
      <c r="R16" s="14"/>
      <c r="S16" s="14"/>
      <c r="T16" s="14"/>
      <c r="U16" s="14"/>
      <c r="V16" s="14"/>
      <c r="W16" s="14"/>
      <c r="X16" s="14"/>
      <c r="Y16" s="14"/>
      <c r="Z16" s="14"/>
    </row>
    <row r="17">
      <c r="A17" s="12" t="s">
        <v>911</v>
      </c>
      <c r="B17" s="14">
        <f>sum(B15:B16)</f>
        <v>56</v>
      </c>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6" t="s">
        <v>917</v>
      </c>
      <c r="B19" s="17">
        <f>countif(Included!K:K, "*compas*")</f>
        <v>36</v>
      </c>
      <c r="C19" s="18" t="s">
        <v>913</v>
      </c>
      <c r="D19" s="17">
        <f t="shared" ref="D19:D20" si="5">DIVIDE(B19,B$1)</f>
        <v>0.6428571429</v>
      </c>
      <c r="E19" s="17">
        <f t="shared" ref="E19:E20" si="6">ROUND(D19, 2)</f>
        <v>0.64</v>
      </c>
      <c r="F19" s="17"/>
      <c r="G19" s="17"/>
      <c r="H19" s="17"/>
      <c r="I19" s="17"/>
      <c r="J19" s="17"/>
      <c r="K19" s="17"/>
      <c r="L19" s="17"/>
      <c r="M19" s="17"/>
      <c r="N19" s="17"/>
      <c r="O19" s="17"/>
      <c r="P19" s="17"/>
      <c r="Q19" s="17"/>
      <c r="R19" s="17"/>
      <c r="S19" s="17"/>
      <c r="T19" s="17"/>
      <c r="U19" s="17"/>
      <c r="V19" s="17"/>
      <c r="W19" s="17"/>
      <c r="X19" s="17"/>
      <c r="Y19" s="17"/>
      <c r="Z19" s="17"/>
    </row>
    <row r="20">
      <c r="A20" s="16" t="s">
        <v>918</v>
      </c>
      <c r="B20" s="17">
        <f>countif(Included!K2:K56, "&lt;&gt;*compas*")</f>
        <v>20</v>
      </c>
      <c r="C20" s="17"/>
      <c r="D20" s="17">
        <f t="shared" si="5"/>
        <v>0.3571428571</v>
      </c>
      <c r="E20" s="17">
        <f t="shared" si="6"/>
        <v>0.36</v>
      </c>
      <c r="F20" s="17"/>
      <c r="G20" s="17"/>
      <c r="H20" s="17"/>
      <c r="I20" s="17"/>
      <c r="J20" s="17"/>
      <c r="K20" s="17"/>
      <c r="L20" s="17"/>
      <c r="M20" s="17"/>
      <c r="N20" s="17"/>
      <c r="O20" s="17"/>
      <c r="P20" s="17"/>
      <c r="Q20" s="17"/>
      <c r="R20" s="17"/>
      <c r="S20" s="17"/>
      <c r="T20" s="17"/>
      <c r="U20" s="17"/>
      <c r="V20" s="17"/>
      <c r="W20" s="17"/>
      <c r="X20" s="17"/>
      <c r="Y20" s="17"/>
      <c r="Z20" s="17"/>
    </row>
    <row r="21">
      <c r="A21" s="16" t="s">
        <v>911</v>
      </c>
      <c r="B21" s="17">
        <f>sum(B19:B20)</f>
        <v>56</v>
      </c>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9" t="s">
        <v>919</v>
      </c>
      <c r="B23" s="20" t="s">
        <v>244</v>
      </c>
      <c r="C23" s="20" t="s">
        <v>920</v>
      </c>
      <c r="D23" s="20" t="s">
        <v>921</v>
      </c>
      <c r="E23" s="20" t="s">
        <v>922</v>
      </c>
      <c r="F23" s="20" t="s">
        <v>923</v>
      </c>
      <c r="G23" s="20" t="s">
        <v>924</v>
      </c>
      <c r="H23" s="20" t="s">
        <v>925</v>
      </c>
      <c r="I23" s="20" t="s">
        <v>926</v>
      </c>
      <c r="J23" s="20" t="s">
        <v>927</v>
      </c>
      <c r="K23" s="20" t="s">
        <v>928</v>
      </c>
      <c r="L23" s="20" t="s">
        <v>929</v>
      </c>
      <c r="M23" s="20" t="s">
        <v>930</v>
      </c>
      <c r="N23" s="21"/>
      <c r="O23" s="21"/>
      <c r="P23" s="21"/>
      <c r="Q23" s="21"/>
      <c r="R23" s="21"/>
      <c r="S23" s="21"/>
      <c r="T23" s="21"/>
      <c r="U23" s="21"/>
      <c r="V23" s="21"/>
      <c r="W23" s="21"/>
      <c r="X23" s="21"/>
      <c r="Y23" s="21"/>
      <c r="Z23" s="21"/>
    </row>
    <row r="24">
      <c r="A24" s="14"/>
      <c r="B24" s="14">
        <f>countif(Included!G:G, "*compas*")</f>
        <v>37</v>
      </c>
      <c r="C24" s="14">
        <f>sum(countif(Included!G:G, "*strategic subject list*"), countif(Included!G:G, "*SSL*"))</f>
        <v>4</v>
      </c>
      <c r="D24" s="13">
        <v>7.0</v>
      </c>
      <c r="E24" s="14">
        <f>sum(countif(Included!G:G, "*Virginia Pretrial Risk Assessment*"), countif(Included!G:G, "*VPRA*"))</f>
        <v>8</v>
      </c>
      <c r="F24" s="14">
        <f>countif(Included!G:G, "*random forest*")</f>
        <v>6</v>
      </c>
      <c r="G24" s="14">
        <f>countif(Included!G:G, "*SVM*")</f>
        <v>3</v>
      </c>
      <c r="H24" s="14">
        <f>countif(Included!G:G, "*predpol*")</f>
        <v>6</v>
      </c>
      <c r="I24" s="14">
        <f>countif(Included!G:G, "*license plate*")</f>
        <v>1</v>
      </c>
      <c r="J24" s="14">
        <f>sum(countif(Included!G:G, "*level of service*"), countif(Included!G:G, "*lsi*"))</f>
        <v>11</v>
      </c>
      <c r="K24" s="14">
        <f>sum(countif(Included!G:G, "*salient factor*"), countif(Included!G:G, "*SFS*"))</f>
        <v>3</v>
      </c>
      <c r="L24" s="14">
        <f>countif(Included!G:G, "*hunchlab*")</f>
        <v>3</v>
      </c>
      <c r="M24" s="14">
        <f>countif(Included!G:G, "*gotham*")</f>
        <v>1</v>
      </c>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21"/>
      <c r="B26" s="20" t="s">
        <v>931</v>
      </c>
      <c r="C26" s="20" t="s">
        <v>932</v>
      </c>
      <c r="D26" s="20" t="s">
        <v>933</v>
      </c>
      <c r="E26" s="20" t="s">
        <v>934</v>
      </c>
      <c r="F26" s="20" t="s">
        <v>935</v>
      </c>
      <c r="G26" s="20" t="s">
        <v>936</v>
      </c>
      <c r="H26" s="20" t="s">
        <v>937</v>
      </c>
      <c r="I26" s="20" t="s">
        <v>938</v>
      </c>
      <c r="J26" s="20" t="s">
        <v>939</v>
      </c>
      <c r="K26" s="20" t="s">
        <v>940</v>
      </c>
      <c r="L26" s="20" t="s">
        <v>941</v>
      </c>
      <c r="M26" s="20" t="s">
        <v>942</v>
      </c>
      <c r="N26" s="21"/>
      <c r="O26" s="21"/>
      <c r="P26" s="21"/>
      <c r="Q26" s="21"/>
      <c r="R26" s="21"/>
      <c r="S26" s="21"/>
      <c r="T26" s="21"/>
      <c r="U26" s="21"/>
      <c r="V26" s="21"/>
      <c r="W26" s="21"/>
      <c r="X26" s="21"/>
      <c r="Y26" s="21"/>
      <c r="Z26" s="21"/>
    </row>
    <row r="27">
      <c r="A27" s="14"/>
      <c r="B27" s="14">
        <f>sum(countif(Included!G:G, "*public safety assessment*"), countif(Included!G:G, "*PSA*"))</f>
        <v>19</v>
      </c>
      <c r="C27" s="14">
        <f>sum(countif(Included!H:H, "*Prisoner Assessment Tool Targeting Estimated Risk and Needs*"), countif(Included!H:H, "*PATTERN*"))</f>
        <v>2</v>
      </c>
      <c r="D27" s="14">
        <f>countif(Included!G:G, "*logistic regression*")</f>
        <v>7</v>
      </c>
      <c r="E27" s="14">
        <f>sum(countif(Included!G:G, "*Virginia Pretrial Risk Assessment*"), countif(Included!G:G, "*VPRA*"))</f>
        <v>8</v>
      </c>
      <c r="F27" s="14">
        <f>sum(countif(Included!G:G, "*Ohio Pretrial Assessment Tool *"), countif(Included!G:G, "*(PAT)*"))</f>
        <v>2</v>
      </c>
      <c r="G27" s="14">
        <f>countif(Included!G:G, "*kleinberg*")</f>
        <v>4</v>
      </c>
      <c r="H27" s="14">
        <f>countif(Included!G:G, "*vera*")</f>
        <v>2</v>
      </c>
      <c r="I27" s="14">
        <f>sum(countif(Included!G:G, "*post conviction risk assessment*"), countif(Included!G:G, "*pcra*"))</f>
        <v>4</v>
      </c>
      <c r="J27" s="14">
        <f>sum(countif(Included!G:G, "*Montana Offender and Reenty Risk Assessment Tool*"), countif(Included!G:G, "*morrat*"))</f>
        <v>1</v>
      </c>
      <c r="K27" s="13">
        <v>4.0</v>
      </c>
      <c r="L27" s="13">
        <v>1.0</v>
      </c>
      <c r="M27" s="13">
        <v>1.0</v>
      </c>
      <c r="N27" s="14"/>
      <c r="O27" s="14"/>
      <c r="P27" s="14"/>
      <c r="Q27" s="14"/>
      <c r="R27" s="14"/>
      <c r="S27" s="14"/>
      <c r="T27" s="14"/>
      <c r="U27" s="14"/>
      <c r="V27" s="14"/>
      <c r="W27" s="14"/>
      <c r="X27" s="14"/>
      <c r="Y27" s="14"/>
      <c r="Z27" s="14"/>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22" t="s">
        <v>943</v>
      </c>
      <c r="B29" s="23" t="s">
        <v>244</v>
      </c>
      <c r="C29" s="24" t="s">
        <v>931</v>
      </c>
      <c r="D29" s="24" t="s">
        <v>927</v>
      </c>
      <c r="E29" s="24" t="s">
        <v>922</v>
      </c>
      <c r="F29" s="24" t="s">
        <v>934</v>
      </c>
      <c r="G29" s="24" t="s">
        <v>938</v>
      </c>
      <c r="H29" s="25"/>
      <c r="I29" s="25"/>
      <c r="J29" s="25"/>
      <c r="K29" s="25"/>
      <c r="L29" s="25"/>
      <c r="M29" s="25"/>
      <c r="N29" s="25"/>
      <c r="O29" s="25"/>
      <c r="P29" s="25"/>
      <c r="Q29" s="25"/>
      <c r="R29" s="25"/>
      <c r="S29" s="25"/>
      <c r="T29" s="25"/>
      <c r="U29" s="25"/>
      <c r="V29" s="25"/>
      <c r="W29" s="25"/>
      <c r="X29" s="25"/>
      <c r="Y29" s="25"/>
      <c r="Z29" s="25"/>
    </row>
    <row r="30">
      <c r="A30" s="23" t="s">
        <v>944</v>
      </c>
      <c r="B30" s="9">
        <f>B24</f>
        <v>37</v>
      </c>
      <c r="C30" s="9">
        <f>B27</f>
        <v>19</v>
      </c>
      <c r="D30" s="9">
        <f>J24</f>
        <v>11</v>
      </c>
      <c r="E30" s="9">
        <f>E24</f>
        <v>8</v>
      </c>
      <c r="F30" s="9">
        <f>E27</f>
        <v>8</v>
      </c>
      <c r="G30" s="9">
        <f>I27</f>
        <v>4</v>
      </c>
    </row>
    <row r="31">
      <c r="A31" s="23" t="s">
        <v>945</v>
      </c>
      <c r="B31" s="9">
        <f t="shared" ref="B31:G31" si="7">round(B30/$B$1, 2)</f>
        <v>0.66</v>
      </c>
      <c r="C31" s="9">
        <f t="shared" si="7"/>
        <v>0.34</v>
      </c>
      <c r="D31" s="9">
        <f t="shared" si="7"/>
        <v>0.2</v>
      </c>
      <c r="E31" s="9">
        <f t="shared" si="7"/>
        <v>0.14</v>
      </c>
      <c r="F31" s="9">
        <f t="shared" si="7"/>
        <v>0.14</v>
      </c>
      <c r="G31" s="9">
        <f t="shared" si="7"/>
        <v>0.07</v>
      </c>
    </row>
    <row r="32">
      <c r="A32" s="19" t="s">
        <v>946</v>
      </c>
      <c r="B32" s="20" t="s">
        <v>925</v>
      </c>
      <c r="C32" s="20" t="s">
        <v>921</v>
      </c>
      <c r="D32" s="20" t="s">
        <v>920</v>
      </c>
      <c r="E32" s="20" t="s">
        <v>926</v>
      </c>
      <c r="F32" s="21"/>
      <c r="G32" s="21"/>
      <c r="H32" s="21"/>
      <c r="I32" s="21"/>
      <c r="J32" s="21"/>
      <c r="K32" s="21"/>
      <c r="L32" s="21"/>
      <c r="M32" s="21"/>
      <c r="N32" s="21"/>
      <c r="O32" s="21"/>
      <c r="P32" s="21"/>
      <c r="Q32" s="21"/>
      <c r="R32" s="21"/>
      <c r="S32" s="21"/>
      <c r="T32" s="21"/>
      <c r="U32" s="21"/>
      <c r="V32" s="21"/>
      <c r="W32" s="21"/>
      <c r="X32" s="21"/>
      <c r="Y32" s="21"/>
      <c r="Z32" s="21"/>
    </row>
    <row r="33">
      <c r="A33" s="13" t="s">
        <v>944</v>
      </c>
      <c r="B33" s="14">
        <f>H24</f>
        <v>6</v>
      </c>
      <c r="C33" s="14">
        <f>D24</f>
        <v>7</v>
      </c>
      <c r="D33" s="14">
        <f>C24</f>
        <v>4</v>
      </c>
      <c r="E33" s="14">
        <f>I24</f>
        <v>1</v>
      </c>
      <c r="F33" s="14"/>
      <c r="G33" s="14"/>
      <c r="H33" s="14"/>
      <c r="I33" s="14"/>
      <c r="J33" s="14"/>
      <c r="K33" s="14"/>
      <c r="L33" s="14"/>
      <c r="M33" s="14"/>
      <c r="N33" s="14"/>
      <c r="O33" s="14"/>
      <c r="P33" s="14"/>
      <c r="Q33" s="14"/>
      <c r="R33" s="14"/>
      <c r="S33" s="14"/>
      <c r="T33" s="14"/>
      <c r="U33" s="14"/>
      <c r="V33" s="14"/>
      <c r="W33" s="14"/>
      <c r="X33" s="14"/>
      <c r="Y33" s="14"/>
      <c r="Z33" s="14"/>
    </row>
    <row r="34">
      <c r="A34" s="13" t="s">
        <v>945</v>
      </c>
      <c r="B34" s="14">
        <f t="shared" ref="B34:E34" si="8">round(B33/$B$1, 2)</f>
        <v>0.11</v>
      </c>
      <c r="C34" s="14">
        <f t="shared" si="8"/>
        <v>0.13</v>
      </c>
      <c r="D34" s="14">
        <f t="shared" si="8"/>
        <v>0.07</v>
      </c>
      <c r="E34" s="14">
        <f t="shared" si="8"/>
        <v>0.02</v>
      </c>
      <c r="F34" s="14"/>
      <c r="G34" s="14"/>
      <c r="H34" s="14"/>
      <c r="I34" s="14"/>
      <c r="J34" s="14"/>
      <c r="K34" s="14"/>
      <c r="L34" s="14"/>
      <c r="M34" s="14"/>
      <c r="N34" s="14"/>
      <c r="O34" s="14"/>
      <c r="P34" s="14"/>
      <c r="Q34" s="14"/>
      <c r="R34" s="14"/>
      <c r="S34" s="14"/>
      <c r="T34" s="14"/>
      <c r="U34" s="14"/>
      <c r="V34" s="14"/>
      <c r="W34" s="14"/>
      <c r="X34" s="14"/>
      <c r="Y34" s="14"/>
      <c r="Z34" s="14"/>
    </row>
    <row r="35">
      <c r="A35" s="22" t="s">
        <v>947</v>
      </c>
      <c r="B35" s="24" t="s">
        <v>923</v>
      </c>
      <c r="C35" s="24" t="s">
        <v>933</v>
      </c>
      <c r="D35" s="24" t="s">
        <v>924</v>
      </c>
      <c r="E35" s="24" t="s">
        <v>940</v>
      </c>
      <c r="F35" s="25"/>
      <c r="G35" s="25"/>
      <c r="H35" s="25"/>
      <c r="I35" s="25"/>
      <c r="J35" s="25"/>
      <c r="K35" s="25"/>
      <c r="L35" s="25"/>
      <c r="M35" s="25"/>
      <c r="N35" s="25"/>
      <c r="O35" s="25"/>
      <c r="P35" s="25"/>
      <c r="Q35" s="25"/>
      <c r="R35" s="25"/>
      <c r="S35" s="25"/>
      <c r="T35" s="25"/>
      <c r="U35" s="25"/>
      <c r="V35" s="25"/>
      <c r="W35" s="25"/>
      <c r="X35" s="25"/>
      <c r="Y35" s="25"/>
      <c r="Z35" s="25"/>
    </row>
    <row r="36">
      <c r="A36" s="23" t="s">
        <v>944</v>
      </c>
      <c r="B36" s="9">
        <f>F24</f>
        <v>6</v>
      </c>
      <c r="C36" s="9">
        <f>D27</f>
        <v>7</v>
      </c>
      <c r="D36" s="9">
        <f>G24</f>
        <v>3</v>
      </c>
      <c r="E36" s="23">
        <v>5.0</v>
      </c>
    </row>
    <row r="37">
      <c r="A37" s="18" t="s">
        <v>945</v>
      </c>
      <c r="B37" s="17">
        <f t="shared" ref="B37:E37" si="9">round(B36/$B$1, 2)</f>
        <v>0.11</v>
      </c>
      <c r="C37" s="17">
        <f t="shared" si="9"/>
        <v>0.13</v>
      </c>
      <c r="D37" s="17">
        <f t="shared" si="9"/>
        <v>0.05</v>
      </c>
      <c r="E37" s="17">
        <f t="shared" si="9"/>
        <v>0.09</v>
      </c>
      <c r="F37" s="17"/>
      <c r="G37" s="17"/>
      <c r="H37" s="17"/>
      <c r="I37" s="17"/>
      <c r="J37" s="17"/>
      <c r="K37" s="17"/>
      <c r="L37" s="17"/>
      <c r="M37" s="17"/>
      <c r="N37" s="17"/>
      <c r="O37" s="17"/>
      <c r="P37" s="17"/>
      <c r="Q37" s="17"/>
      <c r="R37" s="17"/>
      <c r="S37" s="17"/>
      <c r="T37" s="17"/>
      <c r="U37" s="17"/>
      <c r="V37" s="17"/>
      <c r="W37" s="17"/>
      <c r="X37" s="17"/>
      <c r="Y37" s="17"/>
      <c r="Z37" s="17"/>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9" t="s">
        <v>11</v>
      </c>
      <c r="B39" s="20" t="s">
        <v>948</v>
      </c>
      <c r="C39" s="20" t="s">
        <v>949</v>
      </c>
      <c r="D39" s="20" t="s">
        <v>950</v>
      </c>
      <c r="E39" s="20" t="s">
        <v>951</v>
      </c>
      <c r="F39" s="20" t="s">
        <v>952</v>
      </c>
      <c r="G39" s="20" t="s">
        <v>953</v>
      </c>
      <c r="H39" s="20" t="s">
        <v>954</v>
      </c>
      <c r="I39" s="20" t="s">
        <v>955</v>
      </c>
      <c r="J39" s="20" t="s">
        <v>956</v>
      </c>
      <c r="K39" s="20" t="s">
        <v>957</v>
      </c>
      <c r="L39" s="21"/>
      <c r="M39" s="21"/>
      <c r="N39" s="21"/>
      <c r="O39" s="21"/>
      <c r="P39" s="21"/>
      <c r="Q39" s="21"/>
      <c r="R39" s="21"/>
      <c r="S39" s="21"/>
      <c r="T39" s="21"/>
      <c r="U39" s="21"/>
      <c r="V39" s="21"/>
      <c r="W39" s="21"/>
      <c r="X39" s="21"/>
      <c r="Y39" s="21"/>
      <c r="Z39" s="21"/>
    </row>
    <row r="40">
      <c r="A40" s="13" t="s">
        <v>944</v>
      </c>
      <c r="B40" s="13">
        <v>38.0</v>
      </c>
      <c r="C40" s="13">
        <v>34.0</v>
      </c>
      <c r="D40" s="13">
        <v>26.0</v>
      </c>
      <c r="E40" s="13">
        <v>14.0</v>
      </c>
      <c r="F40" s="13">
        <v>17.0</v>
      </c>
      <c r="G40" s="13">
        <v>7.0</v>
      </c>
      <c r="H40" s="13">
        <v>8.0</v>
      </c>
      <c r="I40" s="13">
        <v>16.0</v>
      </c>
      <c r="J40" s="13">
        <v>12.0</v>
      </c>
      <c r="K40" s="13">
        <v>7.0</v>
      </c>
      <c r="L40" s="14"/>
      <c r="M40" s="14"/>
      <c r="N40" s="14"/>
      <c r="O40" s="14"/>
      <c r="P40" s="14"/>
      <c r="Q40" s="14"/>
      <c r="R40" s="14"/>
      <c r="S40" s="14"/>
      <c r="T40" s="14"/>
      <c r="U40" s="14"/>
      <c r="V40" s="14"/>
      <c r="W40" s="14"/>
      <c r="X40" s="14"/>
      <c r="Y40" s="14"/>
      <c r="Z40" s="14"/>
    </row>
    <row r="41">
      <c r="A41" s="13" t="s">
        <v>945</v>
      </c>
      <c r="B41" s="14">
        <f t="shared" ref="B41:K41" si="10">B40/$B$1</f>
        <v>0.6785714286</v>
      </c>
      <c r="C41" s="14">
        <f t="shared" si="10"/>
        <v>0.6071428571</v>
      </c>
      <c r="D41" s="14">
        <f t="shared" si="10"/>
        <v>0.4642857143</v>
      </c>
      <c r="E41" s="14">
        <f t="shared" si="10"/>
        <v>0.25</v>
      </c>
      <c r="F41" s="14">
        <f t="shared" si="10"/>
        <v>0.3035714286</v>
      </c>
      <c r="G41" s="14">
        <f t="shared" si="10"/>
        <v>0.125</v>
      </c>
      <c r="H41" s="14">
        <f t="shared" si="10"/>
        <v>0.1428571429</v>
      </c>
      <c r="I41" s="14">
        <f t="shared" si="10"/>
        <v>0.2857142857</v>
      </c>
      <c r="J41" s="14">
        <f t="shared" si="10"/>
        <v>0.2142857143</v>
      </c>
      <c r="K41" s="14">
        <f t="shared" si="10"/>
        <v>0.125</v>
      </c>
      <c r="L41" s="14"/>
      <c r="M41" s="14"/>
      <c r="N41" s="14"/>
      <c r="O41" s="14"/>
      <c r="P41" s="14"/>
      <c r="Q41" s="14"/>
      <c r="R41" s="14"/>
      <c r="S41" s="14"/>
      <c r="T41" s="14"/>
      <c r="U41" s="14"/>
      <c r="V41" s="14"/>
      <c r="W41" s="14"/>
      <c r="X41" s="14"/>
      <c r="Y41" s="14"/>
      <c r="Z41" s="14"/>
    </row>
    <row r="42">
      <c r="A42" s="13" t="s">
        <v>958</v>
      </c>
      <c r="B42" s="14">
        <f t="shared" ref="B42:K42" si="11">ROUND(B41, 2)</f>
        <v>0.68</v>
      </c>
      <c r="C42" s="14">
        <f t="shared" si="11"/>
        <v>0.61</v>
      </c>
      <c r="D42" s="14">
        <f t="shared" si="11"/>
        <v>0.46</v>
      </c>
      <c r="E42" s="14">
        <f t="shared" si="11"/>
        <v>0.25</v>
      </c>
      <c r="F42" s="14">
        <f t="shared" si="11"/>
        <v>0.3</v>
      </c>
      <c r="G42" s="14">
        <f t="shared" si="11"/>
        <v>0.13</v>
      </c>
      <c r="H42" s="14">
        <f t="shared" si="11"/>
        <v>0.14</v>
      </c>
      <c r="I42" s="14">
        <f t="shared" si="11"/>
        <v>0.29</v>
      </c>
      <c r="J42" s="14">
        <f t="shared" si="11"/>
        <v>0.21</v>
      </c>
      <c r="K42" s="14">
        <f t="shared" si="11"/>
        <v>0.13</v>
      </c>
      <c r="L42" s="14"/>
      <c r="M42" s="14"/>
      <c r="N42" s="14"/>
      <c r="O42" s="14"/>
      <c r="P42" s="14"/>
      <c r="Q42" s="14"/>
      <c r="R42" s="14"/>
      <c r="S42" s="14"/>
      <c r="T42" s="14"/>
      <c r="U42" s="14"/>
      <c r="V42" s="14"/>
      <c r="W42" s="14"/>
      <c r="X42" s="14"/>
      <c r="Y42" s="14"/>
      <c r="Z42" s="14"/>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23" t="s">
        <v>959</v>
      </c>
      <c r="B44" s="9">
        <f>COUNTIFS(Included!I$2:I$57, "yes*", Included!K$2:K$57, "*compas*")</f>
        <v>32</v>
      </c>
      <c r="C44" s="9">
        <f>ROUND(B44/(B44+B45), 2)</f>
        <v>0.73</v>
      </c>
      <c r="D44" s="23" t="s">
        <v>960</v>
      </c>
    </row>
    <row r="45">
      <c r="A45" s="23" t="s">
        <v>961</v>
      </c>
      <c r="B45" s="9">
        <f>COUNTIFS(Included!I$2:I$57, "yes*", Included!K$2:K$57, "&lt;&gt;*compas*")</f>
        <v>12</v>
      </c>
      <c r="C45" s="9">
        <f>ROUND(B45/(B44+B45), 2)</f>
        <v>0.27</v>
      </c>
      <c r="D45" s="23" t="s">
        <v>960</v>
      </c>
    </row>
    <row r="46">
      <c r="A46" s="23" t="s">
        <v>962</v>
      </c>
      <c r="B46" s="9">
        <f>COUNTIFS(Included!I$2:I$57, "no*", Included!K$2:K$57, "*compas*")</f>
        <v>4</v>
      </c>
      <c r="C46" s="9">
        <f>ROUND(B46/(B46+B47), 2)</f>
        <v>0.33</v>
      </c>
      <c r="D46" s="23" t="s">
        <v>963</v>
      </c>
    </row>
    <row r="47">
      <c r="A47" s="23" t="s">
        <v>964</v>
      </c>
      <c r="B47" s="9">
        <f>COUNTIFS(Included!I$2:I$57, "no*", Included!K$2:K$57, "&lt;&gt;*compas*")</f>
        <v>8</v>
      </c>
      <c r="C47" s="9">
        <f>ROUND(B47/(B46+B47), 2)</f>
        <v>0.67</v>
      </c>
      <c r="D47" s="23" t="s">
        <v>963</v>
      </c>
    </row>
    <row r="48">
      <c r="A48" s="23" t="s">
        <v>965</v>
      </c>
      <c r="B48" s="9">
        <f>SUM(B44:B47)</f>
        <v>56</v>
      </c>
      <c r="C48" s="9">
        <f>B48/B1</f>
        <v>1</v>
      </c>
      <c r="D48" s="23" t="s">
        <v>966</v>
      </c>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9" t="s">
        <v>967</v>
      </c>
      <c r="B50" s="20" t="s">
        <v>968</v>
      </c>
      <c r="C50" s="20" t="s">
        <v>969</v>
      </c>
      <c r="D50" s="20" t="s">
        <v>970</v>
      </c>
      <c r="E50" s="20" t="s">
        <v>971</v>
      </c>
      <c r="F50" s="20" t="s">
        <v>972</v>
      </c>
      <c r="G50" s="20" t="s">
        <v>973</v>
      </c>
      <c r="H50" s="20" t="s">
        <v>974</v>
      </c>
      <c r="I50" s="20" t="s">
        <v>975</v>
      </c>
      <c r="J50" s="20" t="s">
        <v>976</v>
      </c>
      <c r="K50" s="20" t="s">
        <v>977</v>
      </c>
      <c r="L50" s="20" t="s">
        <v>978</v>
      </c>
      <c r="M50" s="20" t="s">
        <v>979</v>
      </c>
      <c r="N50" s="21"/>
      <c r="O50" s="21"/>
      <c r="P50" s="21"/>
      <c r="Q50" s="21"/>
      <c r="R50" s="21"/>
      <c r="S50" s="21"/>
      <c r="T50" s="21"/>
      <c r="U50" s="21"/>
      <c r="V50" s="21"/>
      <c r="W50" s="21"/>
      <c r="X50" s="21"/>
      <c r="Y50" s="21"/>
      <c r="Z50" s="21"/>
    </row>
    <row r="51">
      <c r="A51" s="13" t="s">
        <v>944</v>
      </c>
      <c r="B51" s="13">
        <v>36.0</v>
      </c>
      <c r="C51" s="13">
        <v>8.0</v>
      </c>
      <c r="D51" s="13">
        <v>4.0</v>
      </c>
      <c r="E51" s="13">
        <v>22.0</v>
      </c>
      <c r="F51" s="13">
        <v>8.0</v>
      </c>
      <c r="G51" s="13">
        <v>2.0</v>
      </c>
      <c r="H51" s="13">
        <v>4.0</v>
      </c>
      <c r="I51" s="13">
        <v>6.0</v>
      </c>
      <c r="J51" s="13">
        <v>7.0</v>
      </c>
      <c r="K51" s="13">
        <v>5.0</v>
      </c>
      <c r="L51" s="13">
        <v>6.0</v>
      </c>
      <c r="M51" s="13">
        <v>4.0</v>
      </c>
      <c r="N51" s="14"/>
      <c r="O51" s="14"/>
      <c r="P51" s="14"/>
      <c r="Q51" s="14"/>
      <c r="R51" s="14"/>
      <c r="S51" s="14"/>
      <c r="T51" s="14"/>
      <c r="U51" s="14"/>
      <c r="V51" s="14"/>
      <c r="W51" s="14"/>
      <c r="X51" s="14"/>
      <c r="Y51" s="14"/>
      <c r="Z51" s="14"/>
    </row>
    <row r="52">
      <c r="A52" s="13" t="s">
        <v>980</v>
      </c>
      <c r="B52" s="14">
        <f t="shared" ref="B52:M52" si="12">round(B51/$B$1, 2)</f>
        <v>0.64</v>
      </c>
      <c r="C52" s="14">
        <f t="shared" si="12"/>
        <v>0.14</v>
      </c>
      <c r="D52" s="14">
        <f t="shared" si="12"/>
        <v>0.07</v>
      </c>
      <c r="E52" s="14">
        <f t="shared" si="12"/>
        <v>0.39</v>
      </c>
      <c r="F52" s="14">
        <f t="shared" si="12"/>
        <v>0.14</v>
      </c>
      <c r="G52" s="14">
        <f t="shared" si="12"/>
        <v>0.04</v>
      </c>
      <c r="H52" s="14">
        <f t="shared" si="12"/>
        <v>0.07</v>
      </c>
      <c r="I52" s="14">
        <f t="shared" si="12"/>
        <v>0.11</v>
      </c>
      <c r="J52" s="14">
        <f t="shared" si="12"/>
        <v>0.13</v>
      </c>
      <c r="K52" s="14">
        <f t="shared" si="12"/>
        <v>0.09</v>
      </c>
      <c r="L52" s="14">
        <f t="shared" si="12"/>
        <v>0.11</v>
      </c>
      <c r="M52" s="14">
        <f t="shared" si="12"/>
        <v>0.07</v>
      </c>
      <c r="N52" s="14"/>
      <c r="O52" s="14"/>
      <c r="P52" s="14"/>
      <c r="Q52" s="14"/>
      <c r="R52" s="14"/>
      <c r="S52" s="14"/>
      <c r="T52" s="14"/>
      <c r="U52" s="14"/>
      <c r="V52" s="14"/>
      <c r="W52" s="14"/>
      <c r="X52" s="14"/>
      <c r="Y52" s="14"/>
      <c r="Z52" s="14"/>
    </row>
    <row r="53">
      <c r="A53" s="13" t="s">
        <v>981</v>
      </c>
      <c r="B53" s="14">
        <f t="shared" ref="B53:M53" si="13">round(B51/$B$11, 2)</f>
        <v>0.82</v>
      </c>
      <c r="C53" s="14">
        <f t="shared" si="13"/>
        <v>0.18</v>
      </c>
      <c r="D53" s="14">
        <f t="shared" si="13"/>
        <v>0.09</v>
      </c>
      <c r="E53" s="14">
        <f t="shared" si="13"/>
        <v>0.5</v>
      </c>
      <c r="F53" s="14">
        <f t="shared" si="13"/>
        <v>0.18</v>
      </c>
      <c r="G53" s="14">
        <f t="shared" si="13"/>
        <v>0.05</v>
      </c>
      <c r="H53" s="14">
        <f t="shared" si="13"/>
        <v>0.09</v>
      </c>
      <c r="I53" s="14">
        <f t="shared" si="13"/>
        <v>0.14</v>
      </c>
      <c r="J53" s="14">
        <f t="shared" si="13"/>
        <v>0.16</v>
      </c>
      <c r="K53" s="14">
        <f t="shared" si="13"/>
        <v>0.11</v>
      </c>
      <c r="L53" s="14">
        <f t="shared" si="13"/>
        <v>0.14</v>
      </c>
      <c r="M53" s="14">
        <f t="shared" si="13"/>
        <v>0.09</v>
      </c>
      <c r="N53" s="14"/>
      <c r="O53" s="14"/>
      <c r="P53" s="14"/>
      <c r="Q53" s="14"/>
      <c r="R53" s="14"/>
      <c r="S53" s="14"/>
      <c r="T53" s="14"/>
      <c r="U53" s="14"/>
      <c r="V53" s="14"/>
      <c r="W53" s="14"/>
      <c r="X53" s="14"/>
      <c r="Y53" s="14"/>
      <c r="Z53" s="14"/>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8" t="s">
        <v>982</v>
      </c>
      <c r="B55" s="23" t="s">
        <v>983</v>
      </c>
      <c r="C55" s="23" t="s">
        <v>984</v>
      </c>
      <c r="D55" s="23" t="s">
        <v>985</v>
      </c>
    </row>
    <row r="56">
      <c r="B56" s="23">
        <v>8.0</v>
      </c>
      <c r="C56" s="23">
        <v>7.0</v>
      </c>
      <c r="D56" s="23">
        <v>5.0</v>
      </c>
    </row>
  </sheetData>
  <drawing r:id="rId1"/>
</worksheet>
</file>